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OneDrive\Wellness-Connect\inputs\"/>
    </mc:Choice>
  </mc:AlternateContent>
  <xr:revisionPtr revIDLastSave="0" documentId="8_{5DDFD83E-AF90-440F-8171-860F9F87D719}" xr6:coauthVersionLast="47" xr6:coauthVersionMax="47" xr10:uidLastSave="{00000000-0000-0000-0000-000000000000}"/>
  <bookViews>
    <workbookView xWindow="-108" yWindow="-108" windowWidth="23256" windowHeight="12456" activeTab="2" xr2:uid="{00000000-000D-0000-FFFF-FFFF00000000}"/>
  </bookViews>
  <sheets>
    <sheet name="Cover" sheetId="1" r:id="rId1"/>
    <sheet name="TS-01" sheetId="2" r:id="rId2"/>
    <sheet name="TS-02" sheetId="3" r:id="rId3"/>
    <sheet name="TS-03" sheetId="4" r:id="rId4"/>
    <sheet name="TS-04" sheetId="5" r:id="rId5"/>
    <sheet name="TS-05" sheetId="6" r:id="rId6"/>
    <sheet name="TS-06" sheetId="7" r:id="rId7"/>
    <sheet name="TS-07" sheetId="8" r:id="rId8"/>
    <sheet name="TS-08" sheetId="9" r:id="rId9"/>
    <sheet name="Summary"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0" l="1"/>
  <c r="E12" i="10"/>
  <c r="D12" i="10"/>
  <c r="C12" i="10"/>
  <c r="G12" i="10" s="1"/>
  <c r="G11" i="10"/>
  <c r="G10" i="10"/>
  <c r="G9" i="10"/>
  <c r="G8" i="10"/>
  <c r="G7" i="10"/>
  <c r="G6" i="10"/>
  <c r="G5" i="10"/>
  <c r="G4" i="10"/>
</calcChain>
</file>

<file path=xl/sharedStrings.xml><?xml version="1.0" encoding="utf-8"?>
<sst xmlns="http://schemas.openxmlformats.org/spreadsheetml/2006/main" count="658" uniqueCount="463">
  <si>
    <t>WellnessConnect — End-to-End Test Plan</t>
  </si>
  <si>
    <t>Version 1.0  |  25 May 2026  |  Dev URL: wellness-connect-git-dev-vinothm13579-7150s-projects.vercel.app  |  OTP: 123456 (dev bypass)</t>
  </si>
  <si>
    <t>👥  TEST PERSONAS</t>
  </si>
  <si>
    <t>ID</t>
  </si>
  <si>
    <t>Full Name</t>
  </si>
  <si>
    <t>Phone</t>
  </si>
  <si>
    <t>Role</t>
  </si>
  <si>
    <t>Purpose</t>
  </si>
  <si>
    <t>U1</t>
  </si>
  <si>
    <t>Arun Kumar</t>
  </si>
  <si>
    <t>9100000011</t>
  </si>
  <si>
    <t>Client</t>
  </si>
  <si>
    <t>New client — full onboarding flow</t>
  </si>
  <si>
    <t>U2</t>
  </si>
  <si>
    <t>Priya Sharma</t>
  </si>
  <si>
    <t>9100000012</t>
  </si>
  <si>
    <t>Existing client — daily interactions</t>
  </si>
  <si>
    <t>U3</t>
  </si>
  <si>
    <t>Vinoth Trainer</t>
  </si>
  <si>
    <t>9200000011</t>
  </si>
  <si>
    <t>Trainer</t>
  </si>
  <si>
    <t>Primary trainer — manages Arun &amp; Priya</t>
  </si>
  <si>
    <t>U4</t>
  </si>
  <si>
    <t>Ravi Trainer</t>
  </si>
  <si>
    <t>9200000012</t>
  </si>
  <si>
    <t>Secondary trainer — used for discovery tests</t>
  </si>
  <si>
    <t>U5</t>
  </si>
  <si>
    <t>Asha Assessor</t>
  </si>
  <si>
    <t>9600000011</t>
  </si>
  <si>
    <t>Assessor</t>
  </si>
  <si>
    <t>Pre-register via /admin before running tests</t>
  </si>
  <si>
    <t>📋  TEST SUITES OVERVIEW</t>
  </si>
  <si>
    <t>Suite</t>
  </si>
  <si>
    <t>Name</t>
  </si>
  <si>
    <t>Users</t>
  </si>
  <si>
    <t>Steps</t>
  </si>
  <si>
    <t>Objective</t>
  </si>
  <si>
    <t>TS-01</t>
  </si>
  <si>
    <t>Client Onboarding</t>
  </si>
  <si>
    <t>14 steps</t>
  </si>
  <si>
    <t>Complete new client journey from signup to active</t>
  </si>
  <si>
    <t>TS-02</t>
  </si>
  <si>
    <t>Client Daily Flow</t>
  </si>
  <si>
    <t>12 steps</t>
  </si>
  <si>
    <t>Daily check-in, nutrition, progress tracking</t>
  </si>
  <si>
    <t>TS-03</t>
  </si>
  <si>
    <t>Trainer — Client Mgmt</t>
  </si>
  <si>
    <t>15 steps</t>
  </si>
  <si>
    <t>View clients, accept requests, build program, schedule</t>
  </si>
  <si>
    <t>TS-04</t>
  </si>
  <si>
    <t>Trainer ↔ Client Sync</t>
  </si>
  <si>
    <t>U1+U3</t>
  </si>
  <si>
    <t>10 steps</t>
  </si>
  <si>
    <t>Verify data flows correctly between trainer and client</t>
  </si>
  <si>
    <t>TS-05</t>
  </si>
  <si>
    <t>Assessment Flow</t>
  </si>
  <si>
    <t>U1+U5</t>
  </si>
  <si>
    <t>Assessor reviews client, clears for training</t>
  </si>
  <si>
    <t>TS-06</t>
  </si>
  <si>
    <t>Risk &amp; Escalation</t>
  </si>
  <si>
    <t>U1+U3+U5</t>
  </si>
  <si>
    <t>8 steps</t>
  </si>
  <si>
    <t>Risk alert raised, escalated, resolved</t>
  </si>
  <si>
    <t>TS-07</t>
  </si>
  <si>
    <t>Messaging</t>
  </si>
  <si>
    <t>All</t>
  </si>
  <si>
    <t>9 steps</t>
  </si>
  <si>
    <t>All 3 message directions working</t>
  </si>
  <si>
    <t>TS-08</t>
  </si>
  <si>
    <t>Admin Portal</t>
  </si>
  <si>
    <t>Admin</t>
  </si>
  <si>
    <t>6 steps</t>
  </si>
  <si>
    <t>Add/deactivate assessor, verify login bypass</t>
  </si>
  <si>
    <t>🔑  RESULT LEGEND</t>
  </si>
  <si>
    <t>✅ Pass</t>
  </si>
  <si>
    <t>Step completed successfully, output matches expected</t>
  </si>
  <si>
    <t>❌ Fail</t>
  </si>
  <si>
    <t>Step did not produce expected result — log in Notes column</t>
  </si>
  <si>
    <t>⚠️ Partial</t>
  </si>
  <si>
    <t>Step partially worked — note what is missing</t>
  </si>
  <si>
    <t>⏭️ Skip</t>
  </si>
  <si>
    <t>Step skipped (not applicable for this run)</t>
  </si>
  <si>
    <t>🔄 Retest</t>
  </si>
  <si>
    <t>Fixed and needs to be re-verified</t>
  </si>
  <si>
    <t>TS-01 — Client Onboarding</t>
  </si>
  <si>
    <t>Step</t>
  </si>
  <si>
    <t>Screen / Action</t>
  </si>
  <si>
    <t>User</t>
  </si>
  <si>
    <t>Test Data</t>
  </si>
  <si>
    <t>Expected Result</t>
  </si>
  <si>
    <t>Result</t>
  </si>
  <si>
    <t>Notes / Bug</t>
  </si>
  <si>
    <t>PRE-CONDITION: Fresh account — U1 has never signed in before</t>
  </si>
  <si>
    <t>01-01</t>
  </si>
  <si>
    <t>Sign Up → Enter name &amp; phone</t>
  </si>
  <si>
    <t>Name: Arun Kumar
Phone: 9100000011</t>
  </si>
  <si>
    <t>OTP panel appears showing "+91 ••••••0011"</t>
  </si>
  <si>
    <t>01-02</t>
  </si>
  <si>
    <t>Sign Up → Enter OTP</t>
  </si>
  <si>
    <t>OTP: 123456</t>
  </si>
  <si>
    <t>Proceeds to Role Selection screen</t>
  </si>
  <si>
    <t>01-03</t>
  </si>
  <si>
    <t>Role Selection</t>
  </si>
  <si>
    <t>Tap "Client"</t>
  </si>
  <si>
    <t>Navigates to Health Profile screen</t>
  </si>
  <si>
    <t>01-04</t>
  </si>
  <si>
    <t>Health Profile → Basic info</t>
  </si>
  <si>
    <t>DOB: 15/06/1995
Gender: Male
Height: 175cm
Weight: 78kg</t>
  </si>
  <si>
    <t>Fields accept values, no validation errors</t>
  </si>
  <si>
    <t>01-05</t>
  </si>
  <si>
    <t>Health Profile → Goals</t>
  </si>
  <si>
    <t>Goal: Weight Loss
Activity: Moderately Active</t>
  </si>
  <si>
    <t>Goal saved, progress bar advances</t>
  </si>
  <si>
    <t>01-06</t>
  </si>
  <si>
    <t>Health Profile → Conditions</t>
  </si>
  <si>
    <t>Select: None
Tap Save</t>
  </si>
  <si>
    <t>Profile saved → navigates to next step</t>
  </si>
  <si>
    <t>01-07</t>
  </si>
  <si>
    <t>Assessment Booking</t>
  </si>
  <si>
    <t>Tap "Book Assessment"</t>
  </si>
  <si>
    <t>Booking confirmation screen shown</t>
  </si>
  <si>
    <t>01-08</t>
  </si>
  <si>
    <t>Account Ready screen</t>
  </si>
  <si>
    <t>Review onboarding summary</t>
  </si>
  <si>
    <t>"Get Started" button visible</t>
  </si>
  <si>
    <t>01-09</t>
  </si>
  <si>
    <t>Client Home → first load</t>
  </si>
  <si>
    <t>Tap "Get Started"</t>
  </si>
  <si>
    <t>Home screen loads with greeting "Good morning/afternoon, Arun"</t>
  </si>
  <si>
    <t>01-10</t>
  </si>
  <si>
    <t>Client Home → Dashboard widgets</t>
  </si>
  <si>
    <t>Observe home screen</t>
  </si>
  <si>
    <t>Readiness, streak, upcoming session widgets visible</t>
  </si>
  <si>
    <t>01-11</t>
  </si>
  <si>
    <t>Trainers → Discover tab</t>
  </si>
  <si>
    <t>Tap Trainers in bottom nav</t>
  </si>
  <si>
    <t>Trainer cards listed (Vinoth Trainer should appear)</t>
  </si>
  <si>
    <t>01-12</t>
  </si>
  <si>
    <t>Trainers → View profile</t>
  </si>
  <si>
    <t>Tap Vinoth Trainer card</t>
  </si>
  <si>
    <t>Trainer profile opens: specialisations, availability, bio visible</t>
  </si>
  <si>
    <t>01-13</t>
  </si>
  <si>
    <t>Trainers → Request trainer</t>
  </si>
  <si>
    <t>Tap "Request Call Back" or "Message"</t>
  </si>
  <si>
    <t>Message sent / request logged successfully</t>
  </si>
  <si>
    <t>01-14</t>
  </si>
  <si>
    <t>Logout</t>
  </si>
  <si>
    <t>Tap avatar → Sign Out</t>
  </si>
  <si>
    <t>Returns to /signup screen</t>
  </si>
  <si>
    <t>TS-02 — Client Daily Flow</t>
  </si>
  <si>
    <t>PRE-CONDITION: U2 (Priya Sharma) already onboarded and linked to U3 (Vinoth Trainer)</t>
  </si>
  <si>
    <t>02-01</t>
  </si>
  <si>
    <t>Sign In</t>
  </si>
  <si>
    <t>Phone: 9100000012
OTP: 123456</t>
  </si>
  <si>
    <t>Lands on Client Home screen</t>
  </si>
  <si>
    <t>02-02</t>
  </si>
  <si>
    <t>Daily Check-In → open</t>
  </si>
  <si>
    <t>Tap "Daily Check-In" card or nav</t>
  </si>
  <si>
    <t>Check-in form opens with today's date</t>
  </si>
  <si>
    <t>02-03</t>
  </si>
  <si>
    <t>Daily Check-In → fill</t>
  </si>
  <si>
    <t>Readiness: 7
Mood: Good
Sleep: 7.5 hrs
Pain: None</t>
  </si>
  <si>
    <t>Sliders and inputs accept values</t>
  </si>
  <si>
    <t>Daily Check-In → submit</t>
  </si>
  <si>
    <t>Tap "Submit Check-In"</t>
  </si>
  <si>
    <t>Success message shown, data saved to daily_metrics</t>
  </si>
  <si>
    <t>02-05</t>
  </si>
  <si>
    <t>Nutrition → Log meal</t>
  </si>
  <si>
    <t>Tap Nutrition
Select "Lunch"
Upload any image</t>
  </si>
  <si>
    <t>Analysing screen shown (2s in dev), then review screen</t>
  </si>
  <si>
    <t>02-06</t>
  </si>
  <si>
    <t>Nutrition → Review &amp; save</t>
  </si>
  <si>
    <t>Edit meal name if needed
Tap "Log Meal"</t>
  </si>
  <si>
    <t>"Meal logged ✓" confirmation shown</t>
  </si>
  <si>
    <t>02-07</t>
  </si>
  <si>
    <t>Progress screen</t>
  </si>
  <si>
    <t>Tap Progress in bottom nav</t>
  </si>
  <si>
    <t>Readiness history chart shows today's entry
Weight trend visible</t>
  </si>
  <si>
    <t>02-08</t>
  </si>
  <si>
    <t>Weekly Report</t>
  </si>
  <si>
    <t>Navigate to Weekly Report</t>
  </si>
  <si>
    <t>Report shows this week's check-ins and trends</t>
  </si>
  <si>
    <t>02-09</t>
  </si>
  <si>
    <t>Upcoming Sessions</t>
  </si>
  <si>
    <t>Tap Sessions or check home widget</t>
  </si>
  <si>
    <t>Any scheduled sessions listed (or "No sessions" empty state)</t>
  </si>
  <si>
    <t>02-10</t>
  </si>
  <si>
    <t>Alerts screen</t>
  </si>
  <si>
    <t>Tap Alerts in bottom nav</t>
  </si>
  <si>
    <t>No critical alerts (or existing test alerts visible)</t>
  </si>
  <si>
    <t>02-11</t>
  </si>
  <si>
    <t>Messages → send to assessor</t>
  </si>
  <si>
    <t>Tap Messages
Open assessment thread
Type: "Hello, I have a question"</t>
  </si>
  <si>
    <t>Message sent, appears in thread with timestamp</t>
  </si>
  <si>
    <t>02-12</t>
  </si>
  <si>
    <t>Returns to /signup</t>
  </si>
  <si>
    <t>TS-03 — Trainer — Client Management</t>
  </si>
  <si>
    <t>PRE-CONDITION: U3 already onboarded as trainer. U1 and U2 exist in system.</t>
  </si>
  <si>
    <t>03-01</t>
  </si>
  <si>
    <t>Phone: 9200000011
OTP: 123456</t>
  </si>
  <si>
    <t>Lands on Trainer Dashboard</t>
  </si>
  <si>
    <t>03-02</t>
  </si>
  <si>
    <t>Dashboard → verify stats</t>
  </si>
  <si>
    <t>Observe dashboard</t>
  </si>
  <si>
    <t>Client count, risk alerts, today's sessions visible</t>
  </si>
  <si>
    <t>03-03</t>
  </si>
  <si>
    <t>My Clients → view list</t>
  </si>
  <si>
    <t>Tap Clients in bottom nav</t>
  </si>
  <si>
    <t>Client list loads (Priya Sharma should appear as active)</t>
  </si>
  <si>
    <t>03-04</t>
  </si>
  <si>
    <t>Accept/Decline → pending request</t>
  </si>
  <si>
    <t>Look for pending client request (Arun Kumar)</t>
  </si>
  <si>
    <t>"Accept" and "Decline" buttons visible</t>
  </si>
  <si>
    <t>03-05</t>
  </si>
  <si>
    <t>Accept client</t>
  </si>
  <si>
    <t>Tap "Accept"</t>
  </si>
  <si>
    <t>Client status changes to active
Arun Kumar appears in My Clients</t>
  </si>
  <si>
    <t>03-06</t>
  </si>
  <si>
    <t>Client Detail → view Arun</t>
  </si>
  <si>
    <t>Tap Arun Kumar in client list</t>
  </si>
  <si>
    <t>Client detail shows: readiness score, last check-in, risk level</t>
  </si>
  <si>
    <t>03-07</t>
  </si>
  <si>
    <t>Check-In Review → Arun</t>
  </si>
  <si>
    <t>Tap "Review Check-ins"</t>
  </si>
  <si>
    <t>Check-in history listed with dates and scores</t>
  </si>
  <si>
    <t>03-08</t>
  </si>
  <si>
    <t>Program Builder → create</t>
  </si>
  <si>
    <t>Tap "Program Builder" for Arun
Add 3 exercises:
- Squat: 3x10
- Push-up: 3x15
- Plank: 3x60s
Add note: "Focus on form"</t>
  </si>
  <si>
    <t>Exercises added successfully</t>
  </si>
  <si>
    <t>03-09</t>
  </si>
  <si>
    <t>Program Builder → send</t>
  </si>
  <si>
    <t>Tap "Send for Client Approval"</t>
  </si>
  <si>
    <t>Success message. Arun should receive notification</t>
  </si>
  <si>
    <t>03-10</t>
  </si>
  <si>
    <t>Schedule Session</t>
  </si>
  <si>
    <t>Tap Schedule for Arun
Date: tomorrow
Time: 10:00 AM
Duration: 60 min
Type: Video Call</t>
  </si>
  <si>
    <t>Session scheduled. Date shows in DD/MM/YYYY format</t>
  </si>
  <si>
    <t>03-11</t>
  </si>
  <si>
    <t>Weekly Plan</t>
  </si>
  <si>
    <t>Navigate to Weekly Plan for Arun</t>
  </si>
  <si>
    <t>Scheduled session appears in correct day slot</t>
  </si>
  <si>
    <t>03-12</t>
  </si>
  <si>
    <t>Risk Monitor</t>
  </si>
  <si>
    <t>Tap Risk in bottom nav</t>
  </si>
  <si>
    <t>Risk alerts list loads. Any existing alerts visible</t>
  </si>
  <si>
    <t>03-13</t>
  </si>
  <si>
    <t>Client Progress view</t>
  </si>
  <si>
    <t>Navigate to Client Progress for Priya</t>
  </si>
  <si>
    <t>Weight trend, readiness history, adherence charts visible</t>
  </si>
  <si>
    <t>03-14</t>
  </si>
  <si>
    <t>Notifications</t>
  </si>
  <si>
    <t>Tap Notifications (bell)</t>
  </si>
  <si>
    <t>Unread notifications listed with timestamps in DD/MM/YYYY</t>
  </si>
  <si>
    <t>03-15</t>
  </si>
  <si>
    <t>TS-04 — Trainer ↔ Client Sync</t>
  </si>
  <si>
    <t>PRE-CONDITION: TS-03 completed. Arun accepted, program sent.</t>
  </si>
  <si>
    <t>04-01</t>
  </si>
  <si>
    <t>Client → check notifications</t>
  </si>
  <si>
    <t>Sign in as U1
Tap Alerts/Notifications</t>
  </si>
  <si>
    <t>"New program from Vinoth Trainer" notification visible</t>
  </si>
  <si>
    <t>04-02</t>
  </si>
  <si>
    <t>Client → review program</t>
  </si>
  <si>
    <t>Tap notification or Program Approval screen</t>
  </si>
  <si>
    <t>Program shows: Squat 3x10, Push-up 3x15, Plank 3x60s
Note: "Focus on form" visible</t>
  </si>
  <si>
    <t>04-03</t>
  </si>
  <si>
    <t>Client → approve program</t>
  </si>
  <si>
    <t>Tap "Approve Program"</t>
  </si>
  <si>
    <t>Program status changes to active
Trainer should see approval</t>
  </si>
  <si>
    <t>04-04</t>
  </si>
  <si>
    <t>Client → view upcoming session</t>
  </si>
  <si>
    <t>Navigate to Upcoming Sessions</t>
  </si>
  <si>
    <t>Tomorrow's session visible with correct time (10:00 AM) and date (DD/MM/YYYY)</t>
  </si>
  <si>
    <t>04-05</t>
  </si>
  <si>
    <t>Client → daily check-in</t>
  </si>
  <si>
    <t>Submit check-in: Readiness 8
Mood: Great
Sleep: 8hrs</t>
  </si>
  <si>
    <t>Check-in submitted successfully</t>
  </si>
  <si>
    <t>04-06</t>
  </si>
  <si>
    <t>Trainer → verify check-in received</t>
  </si>
  <si>
    <t>Sign in as U3
Open Arun's client detail</t>
  </si>
  <si>
    <t>Latest check-in shows readiness 8, today's date</t>
  </si>
  <si>
    <t>04-07</t>
  </si>
  <si>
    <t>Trainer → check-in review</t>
  </si>
  <si>
    <t>Open Check-in Review for Arun</t>
  </si>
  <si>
    <t>Today's check-in appears at top of list</t>
  </si>
  <si>
    <t>04-08</t>
  </si>
  <si>
    <t>Trainer → add session log</t>
  </si>
  <si>
    <t>Navigate to Session Log for Arun
Log: Duration 60min, All exercises completed, Notes: "Great session"</t>
  </si>
  <si>
    <t>Session logged successfully</t>
  </si>
  <si>
    <t>04-09</t>
  </si>
  <si>
    <t>Client → verify session in progress</t>
  </si>
  <si>
    <t>Sign back in as U1
Check Progress screen</t>
  </si>
  <si>
    <t>Sessions completed count incremented by 1</t>
  </si>
  <si>
    <t>04-10</t>
  </si>
  <si>
    <t>Trainer → send message to Arun</t>
  </si>
  <si>
    <t>Sign in as U3
Messages → Arun thread
Send: "Good work today! Keep it up 💪"</t>
  </si>
  <si>
    <t>Message appears in thread with timestamp</t>
  </si>
  <si>
    <t>04-10b</t>
  </si>
  <si>
    <t>Client → verify message received</t>
  </si>
  <si>
    <t>Sign in as U1
Messages screen</t>
  </si>
  <si>
    <t>Unread badge shown
Trainer message visible in thread</t>
  </si>
  <si>
    <t>TS-05 — Assessment Flow</t>
  </si>
  <si>
    <t>PRE-CONDITION: U5 (Asha Assessor) pre-registered via /admin before running this suite.</t>
  </si>
  <si>
    <t>05-01</t>
  </si>
  <si>
    <t>Admin → pre-register Asha</t>
  </si>
  <si>
    <t>Go to /admin
Login: admin@wellnessconnect.in / WellnessAdmin@2026
Add: Asha Assessor / 9600000011</t>
  </si>
  <si>
    <t>Assessor appears in list with "Not yet signed in" tag</t>
  </si>
  <si>
    <t>05-02</t>
  </si>
  <si>
    <t>Assessor → sign in</t>
  </si>
  <si>
    <t>Phone: 9600000011
OTP: 123456</t>
  </si>
  <si>
    <t>Lands DIRECTLY on Assessment Dashboard (no role selection shown)</t>
  </si>
  <si>
    <t>05-03</t>
  </si>
  <si>
    <t>Assessment Dashboard → verify stats</t>
  </si>
  <si>
    <t>New Clients count, Open Escalations, Trainer Approvals, Reviews Due visible</t>
  </si>
  <si>
    <t>05-04</t>
  </si>
  <si>
    <t>New Client Queue</t>
  </si>
  <si>
    <t>Arun Kumar appears in Pending queue (registered earlier in TS-01)</t>
  </si>
  <si>
    <t>05-05</t>
  </si>
  <si>
    <t>Client Assessment Form → open</t>
  </si>
  <si>
    <t>Tap Arun Kumar</t>
  </si>
  <si>
    <t>Assessment form opens with Arun's profile details</t>
  </si>
  <si>
    <t>05-06</t>
  </si>
  <si>
    <t>Client Assessment Form → fill</t>
  </si>
  <si>
    <t>Fitness Level: Beginner
Health Notes: "No prior conditions"
Conditions: None
Recommended Trainer: Vinoth Trainer</t>
  </si>
  <si>
    <t>All fields accept input</t>
  </si>
  <si>
    <t>05-07</t>
  </si>
  <si>
    <t>Client Assessment Form → clear</t>
  </si>
  <si>
    <t>Clearance: Cleared
Tap Submit</t>
  </si>
  <si>
    <t>Assessment saved. Status changes to "In Progress" or "Completed"</t>
  </si>
  <si>
    <t>05-08</t>
  </si>
  <si>
    <t>Messages → reply to client</t>
  </si>
  <si>
    <t>Tap Messages
Open Arun's thread
Reply: "Your assessment is complete. You are cleared for training!"</t>
  </si>
  <si>
    <t>Message sent, appears in thread</t>
  </si>
  <si>
    <t>05-09</t>
  </si>
  <si>
    <t>Client → verify assessment message</t>
  </si>
  <si>
    <t>Sign in as U1
Check Messages</t>
  </si>
  <si>
    <t>Assessment team reply visible in thread</t>
  </si>
  <si>
    <t>05-10</t>
  </si>
  <si>
    <t>Assessor → Monthly Review Queue</t>
  </si>
  <si>
    <t>Sign back in as U5
Tap Monthly Reviews</t>
  </si>
  <si>
    <t>Any due reviews listed (or empty state)</t>
  </si>
  <si>
    <t>05-11</t>
  </si>
  <si>
    <t>Assessor → Notifications</t>
  </si>
  <si>
    <t>Tap Alerts</t>
  </si>
  <si>
    <t>Notifications listed in chronological order</t>
  </si>
  <si>
    <t>05-12</t>
  </si>
  <si>
    <t>Assessor → Logout</t>
  </si>
  <si>
    <t>Tap avatar (AT) → Sign Out</t>
  </si>
  <si>
    <t>Dropdown shows "Asha Assessor / Assessor"
Returns to /signup</t>
  </si>
  <si>
    <t>TS-06 — Risk &amp; Escalation</t>
  </si>
  <si>
    <t>PRE-CONDITION: U1, U3, U5 all exist. U1 linked to U3.</t>
  </si>
  <si>
    <t>06-01</t>
  </si>
  <si>
    <t>Risk Monitor → view alerts</t>
  </si>
  <si>
    <t>Sign in as U3
Tap Risk in bottom nav</t>
  </si>
  <si>
    <t>Risk alerts list loads. Any existing alerts for clients visible</t>
  </si>
  <si>
    <t>06-02</t>
  </si>
  <si>
    <t>Risk Alert → open detail</t>
  </si>
  <si>
    <t>Tap a risk alert for any client</t>
  </si>
  <si>
    <t>Alert detail shows: severity, description, client info</t>
  </si>
  <si>
    <t>06-03</t>
  </si>
  <si>
    <t>Risk Alert → escalate</t>
  </si>
  <si>
    <t>Tap "Escalate to Assessment Team"</t>
  </si>
  <si>
    <t>Escalation created
Assessor should receive notification</t>
  </si>
  <si>
    <t>06-04</t>
  </si>
  <si>
    <t>Client → trigger alert</t>
  </si>
  <si>
    <t>Sign in as U1
Submit check-in with very low readiness: 2
Mood: Very Bad
Sleep: 3hrs</t>
  </si>
  <si>
    <t>Check-in submitted — risk alert may auto-generate</t>
  </si>
  <si>
    <t>06-05</t>
  </si>
  <si>
    <t>Client → contact assessment</t>
  </si>
  <si>
    <t>Go to Alerts screen
Tap "Contact Assessment Team"</t>
  </si>
  <si>
    <t>Opens message thread with Assessment Team</t>
  </si>
  <si>
    <t>06-06</t>
  </si>
  <si>
    <t>Assessor → view escalation</t>
  </si>
  <si>
    <t>Sign in as U5
Tap Escalations</t>
  </si>
  <si>
    <t>New escalation from U3 visible with TRAINER badge</t>
  </si>
  <si>
    <t>06-07</t>
  </si>
  <si>
    <t>Assessor → review escalation</t>
  </si>
  <si>
    <t>Tap escalation
Add note: "Reviewing client status"
Tap "Mark Reviewing"</t>
  </si>
  <si>
    <t>Status changes to Reviewing</t>
  </si>
  <si>
    <t>06-08</t>
  </si>
  <si>
    <t>Assessor → resolve</t>
  </si>
  <si>
    <t>Add resolution note: "Contacted client. Advised rest day."
Tap Resolve</t>
  </si>
  <si>
    <t>Escalation moves to Resolved tab</t>
  </si>
  <si>
    <t>TS-07 — Messaging All Directions</t>
  </si>
  <si>
    <t>Tests all 3 message directions. Run after TS-01 to TS-05.</t>
  </si>
  <si>
    <t>07-01</t>
  </si>
  <si>
    <t>Client → Assessment (new thread)</t>
  </si>
  <si>
    <t>Sign in as U1
Messages → New message to Assessment Team
Type: "I have a question about my program"</t>
  </si>
  <si>
    <t>Message sent. Thread created.</t>
  </si>
  <si>
    <t>07-02</t>
  </si>
  <si>
    <t>Assessor → reply to client</t>
  </si>
  <si>
    <t>Sign in as U5
Messages → Arun thread
Reply: "Happy to help! What is your question?"</t>
  </si>
  <si>
    <t>Reply appears in thread</t>
  </si>
  <si>
    <t>07-03</t>
  </si>
  <si>
    <t>Client → verify reply</t>
  </si>
  <si>
    <t>Sign in as U1
Check messages</t>
  </si>
  <si>
    <t>Unread badge on Messages nav item
Reply visible in thread</t>
  </si>
  <si>
    <t>07-04</t>
  </si>
  <si>
    <t>Trainer → Assessment (new thread)</t>
  </si>
  <si>
    <t>Sign in as U3
Messages → Assessment thread
Type: "Flagging Arun for review — low readiness scores this week"</t>
  </si>
  <si>
    <t>Message sent to Assessment team</t>
  </si>
  <si>
    <t>07-05</t>
  </si>
  <si>
    <t>Assessor → reply to trainer</t>
  </si>
  <si>
    <t>Sign in as U5
Messages → Trainer thread
Reply: "Thanks for flagging. We will review."</t>
  </si>
  <si>
    <t>Reply sent</t>
  </si>
  <si>
    <t>07-06</t>
  </si>
  <si>
    <t>Trainer → verify reply</t>
  </si>
  <si>
    <t>Sign in as U3
Check messages</t>
  </si>
  <si>
    <t>07-07</t>
  </si>
  <si>
    <t>Unread badge — client</t>
  </si>
  <si>
    <t>Sign in as U2
Do NOT open Messages
Check bottom nav</t>
  </si>
  <si>
    <t>Messages icon shows unread badge if any unread messages</t>
  </si>
  <si>
    <t>07-08</t>
  </si>
  <si>
    <t>Read → badge clears</t>
  </si>
  <si>
    <t>Tap Messages → open thread</t>
  </si>
  <si>
    <t>Badge disappears after opening thread</t>
  </si>
  <si>
    <t>07-09</t>
  </si>
  <si>
    <t>Message timestamps</t>
  </si>
  <si>
    <t>Sign in as U1
Open any message thread</t>
  </si>
  <si>
    <t>All timestamps show in DD/MM/YYYY HH:MM format (IST)</t>
  </si>
  <si>
    <t>TS-08 — Admin Portal</t>
  </si>
  <si>
    <t>Standalone admin tests. No app login required.</t>
  </si>
  <si>
    <t>08-01</t>
  </si>
  <si>
    <t>Admin Portal → access</t>
  </si>
  <si>
    <t>Go to: /admin</t>
  </si>
  <si>
    <t>Login form shown (not redirected to OTP signup)</t>
  </si>
  <si>
    <t>08-02</t>
  </si>
  <si>
    <t>Admin Portal → wrong password</t>
  </si>
  <si>
    <t>Email: admin@wellnessconnect.in
Password: wrongpass</t>
  </si>
  <si>
    <t>"Invalid credentials" error shown inline</t>
  </si>
  <si>
    <t>08-03</t>
  </si>
  <si>
    <t>Admin Portal → correct login</t>
  </si>
  <si>
    <t>Email: admin@wellnessconnect.in
Password: WellnessAdmin@2026</t>
  </si>
  <si>
    <t>Dashboard loads: Add Assessor form + Registered Assessors list</t>
  </si>
  <si>
    <t>08-04</t>
  </si>
  <si>
    <t>Add Assessor</t>
  </si>
  <si>
    <t>Full Name: New Tester
Phone: 9700000001
Tap Add Assessor</t>
  </si>
  <si>
    <t>"Assessor added successfully ✓" shown
Appears in list with "Not yet signed in" tag</t>
  </si>
  <si>
    <t>08-05</t>
  </si>
  <si>
    <t>Deactivate assessor</t>
  </si>
  <si>
    <t>Find New Tester in list
Tap "Deactivate"</t>
  </si>
  <si>
    <t>Status changes to Inactive (red badge)</t>
  </si>
  <si>
    <t>08-06</t>
  </si>
  <si>
    <t>Verify deactivated cannot login</t>
  </si>
  <si>
    <t>Try signing in as 9700000001
OTP: 123456</t>
  </si>
  <si>
    <t>Login should fail or route to role selection (not Assessment Dashboard)
(Deactivated assessors should not get bypass)</t>
  </si>
  <si>
    <t>E2E Test Run Summary</t>
  </si>
  <si>
    <t>Test Run Date:                    Tester:                    Build / Commit:</t>
  </si>
  <si>
    <t>Total Steps</t>
  </si>
  <si>
    <t>Pass ✅</t>
  </si>
  <si>
    <t>Fail ❌</t>
  </si>
  <si>
    <t>Skip ⏭️</t>
  </si>
  <si>
    <t>% Pass</t>
  </si>
  <si>
    <t>TOTAL</t>
  </si>
  <si>
    <t>All Suites</t>
  </si>
  <si>
    <t>City - is it possible to enable or Allow location to track the City</t>
  </si>
  <si>
    <t>It always shows Good morning, Arun. Can we change it based on the time</t>
  </si>
  <si>
    <t>1. The Readiness Score calculation is now displaying correctly, but I need to verify the logic behind it. I also need to plan out how we'll manage the inclusion of passive tracking.
2. For newly logged-in users, why is it showing "Week 4 of 12-week plan"? This doesn't seem right, as no training should be assigned to a new user.</t>
  </si>
  <si>
    <t>I need to you check where users actually land. First time seesm to be landed in Role page. When I clear cookies and try again, it takes me straight to the dashboard instead of the role page. Could you cross-check what's happening on the backend to verify this behavior?</t>
  </si>
  <si>
    <t>1. It looks like the nothing has been checked in so that because after good morning Priya I could see a complete today's check-in. Log your metrics to see your readiness score. I'm assuming this is the first time that we are logging in today for Priya but need to cross check it the back end.
2. The pain and mobility questions should ask about change compared to yesterday, not just current status. For pain: 'pain level compared to yesterday.' For mobility: 'how well are you moving compared to yesterday' instead of 'how are you feeling, how are you moving.'</t>
  </si>
  <si>
    <t>Failed to save check-in. Please try again.
I believe it is forcing me to fill all the check-ins to save. Need to check the logic at the backend</t>
  </si>
  <si>
    <t>For Priya, I logged two meals by selecting log meal again. Wanted to cross check if both the meal data has been stored at the back end.</t>
  </si>
  <si>
    <t>In the weekly report page, I added the comment in the free text box. My comment is: added my comment in weekly report hyphen, confirm if this is reflecting in data. Can I check in the database to see if it is reflecting correctly?</t>
  </si>
  <si>
    <t>"No sessions" has been scheduled. I think it's correct because I believe this is the first time we are logging in as Priya.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</si>
</sst>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20"/>
      <color rgb="FFFFFFFF"/>
      <name val="Arial"/>
    </font>
    <font>
      <i/>
      <sz val="9"/>
      <color rgb="FF607D8B"/>
      <name val="Arial"/>
    </font>
    <font>
      <b/>
      <sz val="11"/>
      <color rgb="FFFFFFFF"/>
      <name val="Arial"/>
    </font>
    <font>
      <b/>
      <sz val="9"/>
      <color rgb="FFFFFFFF"/>
      <name val="Arial"/>
    </font>
    <font>
      <sz val="10"/>
      <name val="Arial"/>
    </font>
    <font>
      <b/>
      <sz val="10"/>
      <name val="Arial"/>
    </font>
    <font>
      <b/>
      <sz val="13"/>
      <color rgb="FFFFFFFF"/>
      <name val="Arial"/>
    </font>
    <font>
      <b/>
      <sz val="10"/>
      <color rgb="FFFFFFFF"/>
      <name val="Arial"/>
    </font>
    <font>
      <b/>
      <sz val="9"/>
      <name val="Arial"/>
    </font>
    <font>
      <sz val="9"/>
      <name val="Arial"/>
    </font>
    <font>
      <b/>
      <sz val="14"/>
      <color rgb="FFFFFFFF"/>
      <name val="Arial"/>
    </font>
    <font>
      <b/>
      <sz val="11"/>
      <color rgb="FF004D40"/>
      <name val="Arial"/>
    </font>
    <font>
      <sz val="10"/>
      <name val="Arial"/>
      <family val="2"/>
    </font>
    <font>
      <sz val="9"/>
      <name val="Arial"/>
      <family val="2"/>
    </font>
    <font>
      <sz val="8"/>
      <color rgb="FF000000"/>
      <name val="Arial"/>
      <family val="2"/>
    </font>
  </fonts>
  <fills count="17">
    <fill>
      <patternFill patternType="none"/>
    </fill>
    <fill>
      <patternFill patternType="gray125"/>
    </fill>
    <fill>
      <patternFill patternType="solid">
        <fgColor rgb="FF004D40"/>
        <bgColor rgb="FF004D40"/>
      </patternFill>
    </fill>
    <fill>
      <patternFill patternType="solid">
        <fgColor rgb="FFECEFF1"/>
        <bgColor rgb="FFECEFF1"/>
      </patternFill>
    </fill>
    <fill>
      <patternFill patternType="solid">
        <fgColor rgb="FF00897B"/>
        <bgColor rgb="FF00897B"/>
      </patternFill>
    </fill>
    <fill>
      <patternFill patternType="solid">
        <fgColor rgb="FFE3F2FD"/>
        <bgColor rgb="FFE3F2FD"/>
      </patternFill>
    </fill>
    <fill>
      <patternFill patternType="solid">
        <fgColor rgb="FFEDE7F6"/>
        <bgColor rgb="FFEDE7F6"/>
      </patternFill>
    </fill>
    <fill>
      <patternFill patternType="solid">
        <fgColor rgb="FFFFF3E0"/>
        <bgColor rgb="FFFFF3E0"/>
      </patternFill>
    </fill>
    <fill>
      <patternFill patternType="solid">
        <fgColor rgb="FF5C35CC"/>
        <bgColor rgb="FF5C35CC"/>
      </patternFill>
    </fill>
    <fill>
      <patternFill patternType="solid">
        <fgColor rgb="FFFFFFFF"/>
        <bgColor rgb="FFFFFFFF"/>
      </patternFill>
    </fill>
    <fill>
      <patternFill patternType="solid">
        <fgColor rgb="FF37474F"/>
        <bgColor rgb="FF37474F"/>
      </patternFill>
    </fill>
    <fill>
      <patternFill patternType="solid">
        <fgColor rgb="FF1565C0"/>
        <bgColor rgb="FF1565C0"/>
      </patternFill>
    </fill>
    <fill>
      <patternFill patternType="solid">
        <fgColor rgb="FF388E3C"/>
        <bgColor rgb="FF388E3C"/>
      </patternFill>
    </fill>
    <fill>
      <patternFill patternType="solid">
        <fgColor rgb="FFF57C00"/>
        <bgColor rgb="FFF57C00"/>
      </patternFill>
    </fill>
    <fill>
      <patternFill patternType="solid">
        <fgColor rgb="FFCC0000"/>
        <bgColor rgb="FFCC0000"/>
      </patternFill>
    </fill>
    <fill>
      <patternFill patternType="solid">
        <fgColor rgb="FFFEF3C7"/>
        <bgColor rgb="FFFEF3C7"/>
      </patternFill>
    </fill>
    <fill>
      <patternFill patternType="solid">
        <fgColor rgb="FFE0F2F1"/>
        <bgColor rgb="FFE0F2F1"/>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61">
    <xf numFmtId="0" fontId="0" fillId="0" borderId="0" xfId="0"/>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5" fillId="5" borderId="1" xfId="0" applyFont="1" applyFill="1" applyBorder="1" applyAlignment="1">
      <alignment horizontal="left" vertical="center"/>
    </xf>
    <xf numFmtId="0" fontId="5" fillId="6" borderId="1" xfId="0" applyFont="1" applyFill="1" applyBorder="1" applyAlignment="1">
      <alignment horizontal="center"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0" fontId="5" fillId="7" borderId="1" xfId="0" applyFont="1" applyFill="1" applyBorder="1" applyAlignment="1">
      <alignment horizontal="center" vertical="center"/>
    </xf>
    <xf numFmtId="0" fontId="6" fillId="7" borderId="1" xfId="0" applyFont="1" applyFill="1" applyBorder="1" applyAlignment="1">
      <alignment horizontal="left" vertical="center"/>
    </xf>
    <xf numFmtId="0" fontId="5" fillId="7" borderId="1" xfId="0" applyFont="1" applyFill="1" applyBorder="1" applyAlignment="1">
      <alignment horizontal="left" vertical="center"/>
    </xf>
    <xf numFmtId="0" fontId="4"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0" fontId="9" fillId="3" borderId="1" xfId="0" applyFont="1" applyFill="1" applyBorder="1" applyAlignment="1">
      <alignment horizontal="center"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10" fillId="9" borderId="1" xfId="0" applyFont="1" applyFill="1" applyBorder="1" applyAlignment="1">
      <alignment horizontal="left" vertical="top" wrapText="1"/>
    </xf>
    <xf numFmtId="0" fontId="10" fillId="9" borderId="1" xfId="0" applyFont="1" applyFill="1" applyBorder="1" applyAlignment="1">
      <alignment horizontal="center" vertical="top" wrapText="1"/>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8" fillId="4" borderId="1" xfId="0" applyFont="1" applyFill="1" applyBorder="1" applyAlignment="1">
      <alignment horizontal="center" vertical="center"/>
    </xf>
    <xf numFmtId="0" fontId="5" fillId="15" borderId="1" xfId="0" applyFont="1" applyFill="1" applyBorder="1" applyAlignment="1">
      <alignment horizontal="center" vertical="center"/>
    </xf>
    <xf numFmtId="9" fontId="6" fillId="9" borderId="1" xfId="0" applyNumberFormat="1" applyFont="1" applyFill="1" applyBorder="1" applyAlignment="1">
      <alignment horizontal="center" vertical="center"/>
    </xf>
    <xf numFmtId="9" fontId="6"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12" fillId="16" borderId="1" xfId="0" applyFont="1" applyFill="1" applyBorder="1" applyAlignment="1">
      <alignment horizontal="center" vertical="center"/>
    </xf>
    <xf numFmtId="9" fontId="12" fillId="16" borderId="1" xfId="0" applyNumberFormat="1" applyFont="1" applyFill="1" applyBorder="1" applyAlignment="1">
      <alignment horizontal="center" vertical="center"/>
    </xf>
    <xf numFmtId="0" fontId="2" fillId="3" borderId="0" xfId="0" applyFont="1" applyFill="1" applyAlignment="1">
      <alignment horizontal="center" vertical="center"/>
    </xf>
    <xf numFmtId="0" fontId="0" fillId="0" borderId="0" xfId="0"/>
    <xf numFmtId="0" fontId="5" fillId="3" borderId="1" xfId="0" applyFont="1" applyFill="1" applyBorder="1" applyAlignment="1">
      <alignment horizontal="left" vertical="center"/>
    </xf>
    <xf numFmtId="0" fontId="3" fillId="10" borderId="0" xfId="0" applyFont="1" applyFill="1" applyAlignment="1">
      <alignment horizontal="left" vertical="center"/>
    </xf>
    <xf numFmtId="0" fontId="3" fillId="8" borderId="0" xfId="0" applyFont="1" applyFill="1" applyAlignment="1">
      <alignment horizontal="left" vertical="center"/>
    </xf>
    <xf numFmtId="0" fontId="1" fillId="2" borderId="0" xfId="0" applyFont="1" applyFill="1" applyAlignment="1">
      <alignment horizontal="center" vertical="center"/>
    </xf>
    <xf numFmtId="0" fontId="3" fillId="4" borderId="0" xfId="0" applyFont="1" applyFill="1" applyAlignment="1">
      <alignment horizontal="left" vertical="center"/>
    </xf>
    <xf numFmtId="0" fontId="8" fillId="10" borderId="0" xfId="0" applyFont="1" applyFill="1" applyAlignment="1">
      <alignment horizontal="left" vertical="center"/>
    </xf>
    <xf numFmtId="0" fontId="7" fillId="4" borderId="0" xfId="0" applyFont="1" applyFill="1" applyAlignment="1">
      <alignment horizontal="center" vertical="center"/>
    </xf>
    <xf numFmtId="0" fontId="7" fillId="11" borderId="0" xfId="0" applyFont="1" applyFill="1" applyAlignment="1">
      <alignment horizontal="center" vertical="center"/>
    </xf>
    <xf numFmtId="0" fontId="7" fillId="8" borderId="0" xfId="0" applyFont="1" applyFill="1" applyAlignment="1">
      <alignment horizontal="center" vertical="center"/>
    </xf>
    <xf numFmtId="0" fontId="7" fillId="12" borderId="0" xfId="0" applyFont="1" applyFill="1" applyAlignment="1">
      <alignment horizontal="center" vertical="center"/>
    </xf>
    <xf numFmtId="0" fontId="7" fillId="13" borderId="0" xfId="0" applyFont="1" applyFill="1" applyAlignment="1">
      <alignment horizontal="center" vertical="center"/>
    </xf>
    <xf numFmtId="0" fontId="7" fillId="14" borderId="0" xfId="0" applyFont="1" applyFill="1" applyAlignment="1">
      <alignment horizontal="center" vertical="center"/>
    </xf>
    <xf numFmtId="0" fontId="7" fillId="2" borderId="0" xfId="0" applyFont="1" applyFill="1" applyAlignment="1">
      <alignment horizontal="center" vertical="center"/>
    </xf>
    <xf numFmtId="0" fontId="7" fillId="10" borderId="0" xfId="0" applyFont="1" applyFill="1" applyAlignment="1">
      <alignment horizontal="center" vertical="center"/>
    </xf>
    <xf numFmtId="0" fontId="2" fillId="3" borderId="0" xfId="0" applyFont="1" applyFill="1" applyAlignment="1">
      <alignment horizontal="left" vertical="center"/>
    </xf>
    <xf numFmtId="0" fontId="11" fillId="2" borderId="0" xfId="0" applyFont="1" applyFill="1" applyAlignment="1">
      <alignment horizontal="center" vertical="center"/>
    </xf>
    <xf numFmtId="0" fontId="13" fillId="3" borderId="1" xfId="0" applyFont="1" applyFill="1" applyBorder="1" applyAlignment="1">
      <alignment horizontal="center" vertical="center" wrapText="1"/>
    </xf>
    <xf numFmtId="0" fontId="14" fillId="3" borderId="1" xfId="0" applyFont="1" applyFill="1" applyBorder="1" applyAlignment="1">
      <alignment horizontal="left" vertical="top" wrapText="1"/>
    </xf>
    <xf numFmtId="0" fontId="15" fillId="0" borderId="0" xfId="0" applyFont="1" applyAlignment="1">
      <alignment wrapText="1"/>
    </xf>
    <xf numFmtId="16" fontId="9" fillId="3" borderId="1" xfId="0" applyNumberFormat="1" applyFont="1" applyFill="1" applyBorder="1" applyAlignment="1">
      <alignment horizontal="center" vertical="top" wrapText="1"/>
    </xf>
    <xf numFmtId="0" fontId="14" fillId="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showGridLines="0" topLeftCell="A13" workbookViewId="0">
      <selection activeCell="A27" sqref="A27"/>
    </sheetView>
  </sheetViews>
  <sheetFormatPr defaultRowHeight="14.4" x14ac:dyDescent="0.3"/>
  <cols>
    <col min="1" max="1" width="10" customWidth="1"/>
    <col min="2" max="2" width="22" customWidth="1"/>
    <col min="3" max="3" width="16" customWidth="1"/>
    <col min="4" max="4" width="14" customWidth="1"/>
    <col min="5" max="5" width="48" customWidth="1"/>
    <col min="6" max="8" width="8" customWidth="1"/>
  </cols>
  <sheetData>
    <row r="1" spans="1:8" ht="30" customHeight="1" x14ac:dyDescent="0.3">
      <c r="A1" s="43" t="s">
        <v>0</v>
      </c>
      <c r="B1" s="39"/>
      <c r="C1" s="39"/>
      <c r="D1" s="39"/>
      <c r="E1" s="39"/>
      <c r="F1" s="39"/>
      <c r="G1" s="39"/>
      <c r="H1" s="39"/>
    </row>
    <row r="2" spans="1:8" ht="30" customHeight="1" x14ac:dyDescent="0.3">
      <c r="A2" s="39"/>
      <c r="B2" s="39"/>
      <c r="C2" s="39"/>
      <c r="D2" s="39"/>
      <c r="E2" s="39"/>
      <c r="F2" s="39"/>
      <c r="G2" s="39"/>
      <c r="H2" s="39"/>
    </row>
    <row r="3" spans="1:8" ht="30" customHeight="1" x14ac:dyDescent="0.3">
      <c r="A3" s="39"/>
      <c r="B3" s="39"/>
      <c r="C3" s="39"/>
      <c r="D3" s="39"/>
      <c r="E3" s="39"/>
      <c r="F3" s="39"/>
      <c r="G3" s="39"/>
      <c r="H3" s="39"/>
    </row>
    <row r="4" spans="1:8" ht="18" customHeight="1" x14ac:dyDescent="0.3">
      <c r="A4" s="38" t="s">
        <v>1</v>
      </c>
      <c r="B4" s="39"/>
      <c r="C4" s="39"/>
      <c r="D4" s="39"/>
      <c r="E4" s="39"/>
      <c r="F4" s="39"/>
      <c r="G4" s="39"/>
      <c r="H4" s="39"/>
    </row>
    <row r="5" spans="1:8" ht="12" customHeight="1" x14ac:dyDescent="0.3"/>
    <row r="6" spans="1:8" ht="22.05" customHeight="1" x14ac:dyDescent="0.3">
      <c r="A6" s="44" t="s">
        <v>2</v>
      </c>
      <c r="B6" s="39"/>
      <c r="C6" s="39"/>
      <c r="D6" s="39"/>
      <c r="E6" s="39"/>
      <c r="F6" s="39"/>
      <c r="G6" s="39"/>
      <c r="H6" s="39"/>
    </row>
    <row r="7" spans="1:8" ht="18" customHeight="1" x14ac:dyDescent="0.3">
      <c r="A7" s="1" t="s">
        <v>3</v>
      </c>
      <c r="B7" s="1" t="s">
        <v>4</v>
      </c>
      <c r="C7" s="1" t="s">
        <v>5</v>
      </c>
      <c r="D7" s="1" t="s">
        <v>6</v>
      </c>
      <c r="E7" s="1" t="s">
        <v>7</v>
      </c>
    </row>
    <row r="8" spans="1:8" ht="19.95" customHeight="1" x14ac:dyDescent="0.3">
      <c r="A8" s="2" t="s">
        <v>8</v>
      </c>
      <c r="B8" s="3" t="s">
        <v>9</v>
      </c>
      <c r="C8" s="2" t="s">
        <v>10</v>
      </c>
      <c r="D8" s="2" t="s">
        <v>11</v>
      </c>
      <c r="E8" s="4" t="s">
        <v>12</v>
      </c>
    </row>
    <row r="9" spans="1:8" ht="19.95" customHeight="1" x14ac:dyDescent="0.3">
      <c r="A9" s="2" t="s">
        <v>13</v>
      </c>
      <c r="B9" s="3" t="s">
        <v>14</v>
      </c>
      <c r="C9" s="2" t="s">
        <v>15</v>
      </c>
      <c r="D9" s="2" t="s">
        <v>11</v>
      </c>
      <c r="E9" s="4" t="s">
        <v>16</v>
      </c>
    </row>
    <row r="10" spans="1:8" ht="19.95" customHeight="1" x14ac:dyDescent="0.3">
      <c r="A10" s="5" t="s">
        <v>17</v>
      </c>
      <c r="B10" s="6" t="s">
        <v>18</v>
      </c>
      <c r="C10" s="5" t="s">
        <v>19</v>
      </c>
      <c r="D10" s="5" t="s">
        <v>20</v>
      </c>
      <c r="E10" s="7" t="s">
        <v>21</v>
      </c>
    </row>
    <row r="11" spans="1:8" ht="19.95" customHeight="1" x14ac:dyDescent="0.3">
      <c r="A11" s="5" t="s">
        <v>22</v>
      </c>
      <c r="B11" s="6" t="s">
        <v>23</v>
      </c>
      <c r="C11" s="5" t="s">
        <v>24</v>
      </c>
      <c r="D11" s="5" t="s">
        <v>20</v>
      </c>
      <c r="E11" s="7" t="s">
        <v>25</v>
      </c>
    </row>
    <row r="12" spans="1:8" ht="19.95" customHeight="1" x14ac:dyDescent="0.3">
      <c r="A12" s="8" t="s">
        <v>26</v>
      </c>
      <c r="B12" s="9" t="s">
        <v>27</v>
      </c>
      <c r="C12" s="8" t="s">
        <v>28</v>
      </c>
      <c r="D12" s="8" t="s">
        <v>29</v>
      </c>
      <c r="E12" s="10" t="s">
        <v>30</v>
      </c>
    </row>
    <row r="14" spans="1:8" ht="22.05" customHeight="1" x14ac:dyDescent="0.3">
      <c r="A14" s="42" t="s">
        <v>31</v>
      </c>
      <c r="B14" s="39"/>
      <c r="C14" s="39"/>
      <c r="D14" s="39"/>
      <c r="E14" s="39"/>
      <c r="F14" s="39"/>
      <c r="G14" s="39"/>
      <c r="H14" s="39"/>
    </row>
    <row r="15" spans="1:8" ht="18" customHeight="1" x14ac:dyDescent="0.3">
      <c r="A15" s="11" t="s">
        <v>32</v>
      </c>
      <c r="B15" s="11" t="s">
        <v>33</v>
      </c>
      <c r="C15" s="11" t="s">
        <v>34</v>
      </c>
      <c r="D15" s="11" t="s">
        <v>35</v>
      </c>
      <c r="E15" s="11" t="s">
        <v>36</v>
      </c>
    </row>
    <row r="16" spans="1:8" ht="19.95" customHeight="1" x14ac:dyDescent="0.3">
      <c r="A16" s="12" t="s">
        <v>37</v>
      </c>
      <c r="B16" s="13" t="s">
        <v>38</v>
      </c>
      <c r="C16" s="14" t="s">
        <v>8</v>
      </c>
      <c r="D16" s="14" t="s">
        <v>39</v>
      </c>
      <c r="E16" s="13" t="s">
        <v>40</v>
      </c>
    </row>
    <row r="17" spans="1:8" ht="19.95" customHeight="1" x14ac:dyDescent="0.3">
      <c r="A17" s="15" t="s">
        <v>41</v>
      </c>
      <c r="B17" s="16" t="s">
        <v>42</v>
      </c>
      <c r="C17" s="17" t="s">
        <v>13</v>
      </c>
      <c r="D17" s="17" t="s">
        <v>43</v>
      </c>
      <c r="E17" s="16" t="s">
        <v>44</v>
      </c>
    </row>
    <row r="18" spans="1:8" ht="19.95" customHeight="1" x14ac:dyDescent="0.3">
      <c r="A18" s="12" t="s">
        <v>45</v>
      </c>
      <c r="B18" s="13" t="s">
        <v>46</v>
      </c>
      <c r="C18" s="14" t="s">
        <v>17</v>
      </c>
      <c r="D18" s="14" t="s">
        <v>47</v>
      </c>
      <c r="E18" s="13" t="s">
        <v>48</v>
      </c>
    </row>
    <row r="19" spans="1:8" ht="19.95" customHeight="1" x14ac:dyDescent="0.3">
      <c r="A19" s="15" t="s">
        <v>49</v>
      </c>
      <c r="B19" s="16" t="s">
        <v>50</v>
      </c>
      <c r="C19" s="17" t="s">
        <v>51</v>
      </c>
      <c r="D19" s="17" t="s">
        <v>52</v>
      </c>
      <c r="E19" s="16" t="s">
        <v>53</v>
      </c>
    </row>
    <row r="20" spans="1:8" ht="19.95" customHeight="1" x14ac:dyDescent="0.3">
      <c r="A20" s="12" t="s">
        <v>54</v>
      </c>
      <c r="B20" s="13" t="s">
        <v>55</v>
      </c>
      <c r="C20" s="14" t="s">
        <v>56</v>
      </c>
      <c r="D20" s="14" t="s">
        <v>43</v>
      </c>
      <c r="E20" s="13" t="s">
        <v>57</v>
      </c>
    </row>
    <row r="21" spans="1:8" ht="19.95" customHeight="1" x14ac:dyDescent="0.3">
      <c r="A21" s="15" t="s">
        <v>58</v>
      </c>
      <c r="B21" s="16" t="s">
        <v>59</v>
      </c>
      <c r="C21" s="17" t="s">
        <v>60</v>
      </c>
      <c r="D21" s="17" t="s">
        <v>61</v>
      </c>
      <c r="E21" s="16" t="s">
        <v>62</v>
      </c>
    </row>
    <row r="22" spans="1:8" ht="19.95" customHeight="1" x14ac:dyDescent="0.3">
      <c r="A22" s="12" t="s">
        <v>63</v>
      </c>
      <c r="B22" s="13" t="s">
        <v>64</v>
      </c>
      <c r="C22" s="14" t="s">
        <v>65</v>
      </c>
      <c r="D22" s="14" t="s">
        <v>66</v>
      </c>
      <c r="E22" s="13" t="s">
        <v>67</v>
      </c>
    </row>
    <row r="23" spans="1:8" ht="19.95" customHeight="1" x14ac:dyDescent="0.3">
      <c r="A23" s="15" t="s">
        <v>68</v>
      </c>
      <c r="B23" s="16" t="s">
        <v>69</v>
      </c>
      <c r="C23" s="17" t="s">
        <v>70</v>
      </c>
      <c r="D23" s="17" t="s">
        <v>71</v>
      </c>
      <c r="E23" s="16" t="s">
        <v>72</v>
      </c>
    </row>
    <row r="25" spans="1:8" ht="22.05" customHeight="1" x14ac:dyDescent="0.3">
      <c r="A25" s="41" t="s">
        <v>73</v>
      </c>
      <c r="B25" s="39"/>
      <c r="C25" s="39"/>
      <c r="D25" s="39"/>
      <c r="E25" s="39"/>
      <c r="F25" s="39"/>
      <c r="G25" s="39"/>
      <c r="H25" s="39"/>
    </row>
    <row r="26" spans="1:8" ht="18" customHeight="1" x14ac:dyDescent="0.3">
      <c r="A26" s="15" t="s">
        <v>74</v>
      </c>
      <c r="B26" s="40" t="s">
        <v>75</v>
      </c>
      <c r="C26" s="39"/>
      <c r="D26" s="39"/>
      <c r="E26" s="39"/>
      <c r="F26" s="39"/>
      <c r="G26" s="39"/>
      <c r="H26" s="39"/>
    </row>
    <row r="27" spans="1:8" ht="18" customHeight="1" x14ac:dyDescent="0.3">
      <c r="A27" s="15" t="s">
        <v>76</v>
      </c>
      <c r="B27" s="40" t="s">
        <v>77</v>
      </c>
      <c r="C27" s="39"/>
      <c r="D27" s="39"/>
      <c r="E27" s="39"/>
      <c r="F27" s="39"/>
      <c r="G27" s="39"/>
      <c r="H27" s="39"/>
    </row>
    <row r="28" spans="1:8" ht="18" customHeight="1" x14ac:dyDescent="0.3">
      <c r="A28" s="15" t="s">
        <v>78</v>
      </c>
      <c r="B28" s="40" t="s">
        <v>79</v>
      </c>
      <c r="C28" s="39"/>
      <c r="D28" s="39"/>
      <c r="E28" s="39"/>
      <c r="F28" s="39"/>
      <c r="G28" s="39"/>
      <c r="H28" s="39"/>
    </row>
    <row r="29" spans="1:8" ht="18" customHeight="1" x14ac:dyDescent="0.3">
      <c r="A29" s="15" t="s">
        <v>80</v>
      </c>
      <c r="B29" s="40" t="s">
        <v>81</v>
      </c>
      <c r="C29" s="39"/>
      <c r="D29" s="39"/>
      <c r="E29" s="39"/>
      <c r="F29" s="39"/>
      <c r="G29" s="39"/>
      <c r="H29" s="39"/>
    </row>
    <row r="30" spans="1:8" ht="18" customHeight="1" x14ac:dyDescent="0.3">
      <c r="A30" s="15" t="s">
        <v>82</v>
      </c>
      <c r="B30" s="40" t="s">
        <v>83</v>
      </c>
      <c r="C30" s="39"/>
      <c r="D30" s="39"/>
      <c r="E30" s="39"/>
      <c r="F30" s="39"/>
      <c r="G30" s="39"/>
      <c r="H30" s="39"/>
    </row>
  </sheetData>
  <mergeCells count="10">
    <mergeCell ref="A1:H3"/>
    <mergeCell ref="A6:H6"/>
    <mergeCell ref="B28:H28"/>
    <mergeCell ref="A4:H4"/>
    <mergeCell ref="B26:H26"/>
    <mergeCell ref="B27:H27"/>
    <mergeCell ref="A25:H25"/>
    <mergeCell ref="B30:H30"/>
    <mergeCell ref="A14:H14"/>
    <mergeCell ref="B29:H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showGridLines="0" topLeftCell="E1" workbookViewId="0">
      <pane ySplit="2" topLeftCell="A12" activePane="bottomLeft" state="frozen"/>
      <selection pane="bottomLeft" activeCell="G17" sqref="G17"/>
    </sheetView>
  </sheetViews>
  <sheetFormatPr defaultRowHeight="14.4" x14ac:dyDescent="0.3"/>
  <cols>
    <col min="1" max="1" width="8" customWidth="1"/>
    <col min="2" max="2" width="32" customWidth="1"/>
    <col min="3" max="3" width="8" customWidth="1"/>
    <col min="4" max="4" width="28" customWidth="1"/>
    <col min="5" max="5" width="38" customWidth="1"/>
    <col min="6" max="6" width="9.77734375" bestFit="1" customWidth="1"/>
    <col min="7" max="7" width="32" customWidth="1"/>
  </cols>
  <sheetData>
    <row r="1" spans="1:7" ht="28.05" customHeight="1" x14ac:dyDescent="0.3">
      <c r="A1" s="46" t="s">
        <v>84</v>
      </c>
      <c r="B1" s="39"/>
      <c r="C1" s="39"/>
      <c r="D1" s="39"/>
      <c r="E1" s="39"/>
      <c r="F1" s="39"/>
      <c r="G1" s="39"/>
    </row>
    <row r="2" spans="1:7" ht="18" customHeight="1" x14ac:dyDescent="0.3">
      <c r="A2" s="1" t="s">
        <v>85</v>
      </c>
      <c r="B2" s="1" t="s">
        <v>86</v>
      </c>
      <c r="C2" s="1" t="s">
        <v>87</v>
      </c>
      <c r="D2" s="1" t="s">
        <v>88</v>
      </c>
      <c r="E2" s="1" t="s">
        <v>89</v>
      </c>
      <c r="F2" s="1" t="s">
        <v>90</v>
      </c>
      <c r="G2" s="1" t="s">
        <v>91</v>
      </c>
    </row>
    <row r="3" spans="1:7" ht="19.95" customHeight="1" x14ac:dyDescent="0.3">
      <c r="A3" s="45" t="s">
        <v>92</v>
      </c>
      <c r="B3" s="39"/>
      <c r="C3" s="39"/>
      <c r="D3" s="39"/>
      <c r="E3" s="39"/>
      <c r="F3" s="39"/>
      <c r="G3" s="39"/>
    </row>
    <row r="4" spans="1:7" ht="36" customHeight="1" x14ac:dyDescent="0.3">
      <c r="A4" s="18" t="s">
        <v>93</v>
      </c>
      <c r="B4" s="19" t="s">
        <v>94</v>
      </c>
      <c r="C4" s="20" t="s">
        <v>8</v>
      </c>
      <c r="D4" s="19" t="s">
        <v>95</v>
      </c>
      <c r="E4" s="19" t="s">
        <v>96</v>
      </c>
      <c r="F4" s="15" t="s">
        <v>74</v>
      </c>
      <c r="G4" s="19"/>
    </row>
    <row r="5" spans="1:7" ht="36" customHeight="1" x14ac:dyDescent="0.3">
      <c r="A5" s="21" t="s">
        <v>97</v>
      </c>
      <c r="B5" s="22" t="s">
        <v>98</v>
      </c>
      <c r="C5" s="23" t="s">
        <v>8</v>
      </c>
      <c r="D5" s="22" t="s">
        <v>99</v>
      </c>
      <c r="E5" s="22" t="s">
        <v>100</v>
      </c>
      <c r="F5" s="15" t="s">
        <v>74</v>
      </c>
      <c r="G5" s="22"/>
    </row>
    <row r="6" spans="1:7" ht="36" customHeight="1" x14ac:dyDescent="0.3">
      <c r="A6" s="18" t="s">
        <v>101</v>
      </c>
      <c r="B6" s="19" t="s">
        <v>102</v>
      </c>
      <c r="C6" s="20" t="s">
        <v>8</v>
      </c>
      <c r="D6" s="19" t="s">
        <v>103</v>
      </c>
      <c r="E6" s="19" t="s">
        <v>104</v>
      </c>
      <c r="F6" s="15" t="s">
        <v>74</v>
      </c>
      <c r="G6" s="19"/>
    </row>
    <row r="7" spans="1:7" ht="36" customHeight="1" x14ac:dyDescent="0.3">
      <c r="A7" s="21" t="s">
        <v>105</v>
      </c>
      <c r="B7" s="22" t="s">
        <v>106</v>
      </c>
      <c r="C7" s="23" t="s">
        <v>8</v>
      </c>
      <c r="D7" s="22" t="s">
        <v>107</v>
      </c>
      <c r="E7" s="22" t="s">
        <v>108</v>
      </c>
      <c r="F7" s="15" t="s">
        <v>74</v>
      </c>
      <c r="G7" s="22" t="s">
        <v>454</v>
      </c>
    </row>
    <row r="8" spans="1:7" ht="36" customHeight="1" x14ac:dyDescent="0.3">
      <c r="A8" s="18" t="s">
        <v>109</v>
      </c>
      <c r="B8" s="19" t="s">
        <v>110</v>
      </c>
      <c r="C8" s="20" t="s">
        <v>8</v>
      </c>
      <c r="D8" s="19" t="s">
        <v>111</v>
      </c>
      <c r="E8" s="19" t="s">
        <v>112</v>
      </c>
      <c r="F8" s="15" t="s">
        <v>74</v>
      </c>
      <c r="G8" s="19"/>
    </row>
    <row r="9" spans="1:7" ht="36" customHeight="1" x14ac:dyDescent="0.3">
      <c r="A9" s="21" t="s">
        <v>113</v>
      </c>
      <c r="B9" s="22" t="s">
        <v>114</v>
      </c>
      <c r="C9" s="23" t="s">
        <v>8</v>
      </c>
      <c r="D9" s="22" t="s">
        <v>115</v>
      </c>
      <c r="E9" s="22" t="s">
        <v>116</v>
      </c>
      <c r="F9" s="15" t="s">
        <v>74</v>
      </c>
      <c r="G9" s="22"/>
    </row>
    <row r="10" spans="1:7" ht="36" customHeight="1" x14ac:dyDescent="0.3">
      <c r="A10" s="18" t="s">
        <v>117</v>
      </c>
      <c r="B10" s="19" t="s">
        <v>118</v>
      </c>
      <c r="C10" s="20" t="s">
        <v>8</v>
      </c>
      <c r="D10" s="19" t="s">
        <v>119</v>
      </c>
      <c r="E10" s="19" t="s">
        <v>120</v>
      </c>
      <c r="F10" s="15" t="s">
        <v>74</v>
      </c>
      <c r="G10" s="19"/>
    </row>
    <row r="11" spans="1:7" ht="36" customHeight="1" x14ac:dyDescent="0.3">
      <c r="A11" s="21" t="s">
        <v>121</v>
      </c>
      <c r="B11" s="22" t="s">
        <v>122</v>
      </c>
      <c r="C11" s="23" t="s">
        <v>8</v>
      </c>
      <c r="D11" s="22" t="s">
        <v>123</v>
      </c>
      <c r="E11" s="22" t="s">
        <v>124</v>
      </c>
      <c r="F11" s="15" t="s">
        <v>74</v>
      </c>
      <c r="G11" s="22"/>
    </row>
    <row r="12" spans="1:7" ht="36" customHeight="1" x14ac:dyDescent="0.3">
      <c r="A12" s="18" t="s">
        <v>125</v>
      </c>
      <c r="B12" s="19" t="s">
        <v>126</v>
      </c>
      <c r="C12" s="20" t="s">
        <v>8</v>
      </c>
      <c r="D12" s="19" t="s">
        <v>127</v>
      </c>
      <c r="E12" s="19" t="s">
        <v>128</v>
      </c>
      <c r="F12" s="15" t="s">
        <v>78</v>
      </c>
      <c r="G12" s="19" t="s">
        <v>455</v>
      </c>
    </row>
    <row r="13" spans="1:7" ht="36" customHeight="1" x14ac:dyDescent="0.3">
      <c r="A13" s="21" t="s">
        <v>129</v>
      </c>
      <c r="B13" s="22" t="s">
        <v>130</v>
      </c>
      <c r="C13" s="23" t="s">
        <v>8</v>
      </c>
      <c r="D13" s="22" t="s">
        <v>131</v>
      </c>
      <c r="E13" s="22" t="s">
        <v>132</v>
      </c>
      <c r="F13" s="15" t="s">
        <v>78</v>
      </c>
      <c r="G13" s="22" t="s">
        <v>456</v>
      </c>
    </row>
    <row r="14" spans="1:7" ht="36" customHeight="1" x14ac:dyDescent="0.3">
      <c r="A14" s="18" t="s">
        <v>133</v>
      </c>
      <c r="B14" s="19" t="s">
        <v>134</v>
      </c>
      <c r="C14" s="20" t="s">
        <v>8</v>
      </c>
      <c r="D14" s="19" t="s">
        <v>135</v>
      </c>
      <c r="E14" s="19" t="s">
        <v>136</v>
      </c>
      <c r="F14" s="15" t="s">
        <v>74</v>
      </c>
      <c r="G14" s="19"/>
    </row>
    <row r="15" spans="1:7" ht="36" customHeight="1" x14ac:dyDescent="0.3">
      <c r="A15" s="21" t="s">
        <v>137</v>
      </c>
      <c r="B15" s="22" t="s">
        <v>138</v>
      </c>
      <c r="C15" s="23" t="s">
        <v>8</v>
      </c>
      <c r="D15" s="22" t="s">
        <v>139</v>
      </c>
      <c r="E15" s="22" t="s">
        <v>140</v>
      </c>
      <c r="F15" s="15" t="s">
        <v>74</v>
      </c>
      <c r="G15" s="22"/>
    </row>
    <row r="16" spans="1:7" ht="36" customHeight="1" x14ac:dyDescent="0.3">
      <c r="A16" s="18" t="s">
        <v>141</v>
      </c>
      <c r="B16" s="19" t="s">
        <v>142</v>
      </c>
      <c r="C16" s="20" t="s">
        <v>8</v>
      </c>
      <c r="D16" s="19" t="s">
        <v>143</v>
      </c>
      <c r="E16" s="19" t="s">
        <v>144</v>
      </c>
      <c r="F16" s="15" t="s">
        <v>74</v>
      </c>
      <c r="G16" s="19"/>
    </row>
    <row r="17" spans="1:7" ht="36" customHeight="1" x14ac:dyDescent="0.3">
      <c r="A17" s="21" t="s">
        <v>145</v>
      </c>
      <c r="B17" s="22" t="s">
        <v>146</v>
      </c>
      <c r="C17" s="23" t="s">
        <v>8</v>
      </c>
      <c r="D17" s="22" t="s">
        <v>147</v>
      </c>
      <c r="E17" s="22" t="s">
        <v>148</v>
      </c>
      <c r="F17" s="15" t="s">
        <v>74</v>
      </c>
      <c r="G17" s="22"/>
    </row>
  </sheetData>
  <mergeCells count="2">
    <mergeCell ref="A3:G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showGridLines="0" tabSelected="1" topLeftCell="C1" workbookViewId="0">
      <pane ySplit="2" topLeftCell="A9" activePane="bottomLeft" state="frozen"/>
      <selection pane="bottomLeft" activeCell="E17" sqref="E17"/>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47" t="s">
        <v>149</v>
      </c>
      <c r="B1" s="39"/>
      <c r="C1" s="39"/>
      <c r="D1" s="39"/>
      <c r="E1" s="39"/>
      <c r="F1" s="39"/>
      <c r="G1" s="39"/>
    </row>
    <row r="2" spans="1:7" ht="18" customHeight="1" x14ac:dyDescent="0.3">
      <c r="A2" s="24" t="s">
        <v>85</v>
      </c>
      <c r="B2" s="24" t="s">
        <v>86</v>
      </c>
      <c r="C2" s="24" t="s">
        <v>87</v>
      </c>
      <c r="D2" s="24" t="s">
        <v>88</v>
      </c>
      <c r="E2" s="24" t="s">
        <v>89</v>
      </c>
      <c r="F2" s="24" t="s">
        <v>90</v>
      </c>
      <c r="G2" s="24" t="s">
        <v>91</v>
      </c>
    </row>
    <row r="3" spans="1:7" ht="19.95" customHeight="1" x14ac:dyDescent="0.3">
      <c r="A3" s="45" t="s">
        <v>150</v>
      </c>
      <c r="B3" s="39"/>
      <c r="C3" s="39"/>
      <c r="D3" s="39"/>
      <c r="E3" s="39"/>
      <c r="F3" s="39"/>
      <c r="G3" s="39"/>
    </row>
    <row r="4" spans="1:7" ht="36" customHeight="1" x14ac:dyDescent="0.3">
      <c r="A4" s="18" t="s">
        <v>151</v>
      </c>
      <c r="B4" s="19" t="s">
        <v>152</v>
      </c>
      <c r="C4" s="20" t="s">
        <v>13</v>
      </c>
      <c r="D4" s="19" t="s">
        <v>153</v>
      </c>
      <c r="E4" s="19" t="s">
        <v>154</v>
      </c>
      <c r="F4" s="15" t="s">
        <v>78</v>
      </c>
      <c r="G4" s="56" t="s">
        <v>457</v>
      </c>
    </row>
    <row r="5" spans="1:7" ht="36" customHeight="1" x14ac:dyDescent="0.3">
      <c r="A5" s="21" t="s">
        <v>155</v>
      </c>
      <c r="B5" s="22" t="s">
        <v>156</v>
      </c>
      <c r="C5" s="23" t="s">
        <v>13</v>
      </c>
      <c r="D5" s="22" t="s">
        <v>157</v>
      </c>
      <c r="E5" s="22" t="s">
        <v>158</v>
      </c>
      <c r="F5" s="15" t="s">
        <v>74</v>
      </c>
      <c r="G5" s="22"/>
    </row>
    <row r="6" spans="1:7" ht="36" customHeight="1" x14ac:dyDescent="0.3">
      <c r="A6" s="18" t="s">
        <v>159</v>
      </c>
      <c r="B6" s="19" t="s">
        <v>160</v>
      </c>
      <c r="C6" s="20" t="s">
        <v>13</v>
      </c>
      <c r="D6" s="57" t="s">
        <v>161</v>
      </c>
      <c r="E6" s="19" t="s">
        <v>162</v>
      </c>
      <c r="F6" s="15" t="s">
        <v>78</v>
      </c>
      <c r="G6" s="57" t="s">
        <v>458</v>
      </c>
    </row>
    <row r="7" spans="1:7" ht="36" customHeight="1" x14ac:dyDescent="0.3">
      <c r="A7" s="59">
        <v>46057</v>
      </c>
      <c r="B7" s="22" t="s">
        <v>163</v>
      </c>
      <c r="C7" s="23" t="s">
        <v>13</v>
      </c>
      <c r="D7" s="22" t="s">
        <v>164</v>
      </c>
      <c r="E7" s="22" t="s">
        <v>165</v>
      </c>
      <c r="F7" s="15" t="s">
        <v>76</v>
      </c>
      <c r="G7" s="58" t="s">
        <v>459</v>
      </c>
    </row>
    <row r="8" spans="1:7" ht="36" customHeight="1" x14ac:dyDescent="0.3">
      <c r="A8" s="18" t="s">
        <v>166</v>
      </c>
      <c r="B8" s="57" t="s">
        <v>167</v>
      </c>
      <c r="C8" s="20" t="s">
        <v>13</v>
      </c>
      <c r="D8" s="19" t="s">
        <v>168</v>
      </c>
      <c r="E8" s="19" t="s">
        <v>169</v>
      </c>
      <c r="F8" s="15" t="s">
        <v>78</v>
      </c>
      <c r="G8" s="57" t="s">
        <v>460</v>
      </c>
    </row>
    <row r="9" spans="1:7" ht="36" customHeight="1" x14ac:dyDescent="0.3">
      <c r="A9" s="21" t="s">
        <v>170</v>
      </c>
      <c r="B9" s="22" t="s">
        <v>171</v>
      </c>
      <c r="C9" s="23" t="s">
        <v>13</v>
      </c>
      <c r="D9" s="22" t="s">
        <v>172</v>
      </c>
      <c r="E9" s="22" t="s">
        <v>173</v>
      </c>
      <c r="F9" s="15" t="s">
        <v>74</v>
      </c>
      <c r="G9" s="22"/>
    </row>
    <row r="10" spans="1:7" ht="36" customHeight="1" x14ac:dyDescent="0.3">
      <c r="A10" s="18" t="s">
        <v>174</v>
      </c>
      <c r="B10" s="19" t="s">
        <v>175</v>
      </c>
      <c r="C10" s="20" t="s">
        <v>13</v>
      </c>
      <c r="D10" s="19" t="s">
        <v>176</v>
      </c>
      <c r="E10" s="19" t="s">
        <v>177</v>
      </c>
      <c r="F10" s="15" t="s">
        <v>74</v>
      </c>
      <c r="G10" s="19"/>
    </row>
    <row r="11" spans="1:7" ht="36" customHeight="1" x14ac:dyDescent="0.3">
      <c r="A11" s="21" t="s">
        <v>178</v>
      </c>
      <c r="B11" s="22" t="s">
        <v>179</v>
      </c>
      <c r="C11" s="23" t="s">
        <v>13</v>
      </c>
      <c r="D11" s="22" t="s">
        <v>180</v>
      </c>
      <c r="E11" s="22" t="s">
        <v>181</v>
      </c>
      <c r="F11" s="15" t="s">
        <v>74</v>
      </c>
      <c r="G11" s="60" t="s">
        <v>461</v>
      </c>
    </row>
    <row r="12" spans="1:7" ht="36" customHeight="1" x14ac:dyDescent="0.3">
      <c r="A12" s="18" t="s">
        <v>182</v>
      </c>
      <c r="B12" s="19" t="s">
        <v>183</v>
      </c>
      <c r="C12" s="20" t="s">
        <v>13</v>
      </c>
      <c r="D12" s="19" t="s">
        <v>184</v>
      </c>
      <c r="E12" s="19" t="s">
        <v>185</v>
      </c>
      <c r="F12" s="15" t="s">
        <v>74</v>
      </c>
      <c r="G12" s="57" t="s">
        <v>462</v>
      </c>
    </row>
    <row r="13" spans="1:7" ht="36" customHeight="1" x14ac:dyDescent="0.3">
      <c r="A13" s="21" t="s">
        <v>186</v>
      </c>
      <c r="B13" s="22" t="s">
        <v>187</v>
      </c>
      <c r="C13" s="23" t="s">
        <v>13</v>
      </c>
      <c r="D13" s="22" t="s">
        <v>188</v>
      </c>
      <c r="E13" s="22" t="s">
        <v>189</v>
      </c>
      <c r="F13" s="15" t="s">
        <v>74</v>
      </c>
      <c r="G13" s="22"/>
    </row>
    <row r="14" spans="1:7" ht="36" customHeight="1" x14ac:dyDescent="0.3">
      <c r="A14" s="18" t="s">
        <v>190</v>
      </c>
      <c r="B14" s="19" t="s">
        <v>191</v>
      </c>
      <c r="C14" s="20" t="s">
        <v>13</v>
      </c>
      <c r="D14" s="57" t="s">
        <v>192</v>
      </c>
      <c r="E14" s="19" t="s">
        <v>193</v>
      </c>
      <c r="F14" s="15" t="s">
        <v>74</v>
      </c>
      <c r="G14" s="19"/>
    </row>
    <row r="15" spans="1:7" ht="36" customHeight="1" x14ac:dyDescent="0.3">
      <c r="A15" s="21" t="s">
        <v>194</v>
      </c>
      <c r="B15" s="22" t="s">
        <v>146</v>
      </c>
      <c r="C15" s="23" t="s">
        <v>13</v>
      </c>
      <c r="D15" s="22" t="s">
        <v>147</v>
      </c>
      <c r="E15" s="22" t="s">
        <v>195</v>
      </c>
      <c r="F15" s="15" t="s">
        <v>74</v>
      </c>
      <c r="G15" s="22"/>
    </row>
  </sheetData>
  <mergeCells count="2">
    <mergeCell ref="A3:G3"/>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showGridLines="0" workbookViewId="0">
      <pane ySplit="2" topLeftCell="A3" activePane="bottomLeft" state="frozen"/>
      <selection pane="bottomLeft" activeCell="B10" sqref="B10"/>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48" t="s">
        <v>196</v>
      </c>
      <c r="B1" s="39"/>
      <c r="C1" s="39"/>
      <c r="D1" s="39"/>
      <c r="E1" s="39"/>
      <c r="F1" s="39"/>
      <c r="G1" s="39"/>
    </row>
    <row r="2" spans="1:7" ht="18" customHeight="1" x14ac:dyDescent="0.3">
      <c r="A2" s="11" t="s">
        <v>85</v>
      </c>
      <c r="B2" s="11" t="s">
        <v>86</v>
      </c>
      <c r="C2" s="11" t="s">
        <v>87</v>
      </c>
      <c r="D2" s="11" t="s">
        <v>88</v>
      </c>
      <c r="E2" s="11" t="s">
        <v>89</v>
      </c>
      <c r="F2" s="11" t="s">
        <v>90</v>
      </c>
      <c r="G2" s="11" t="s">
        <v>91</v>
      </c>
    </row>
    <row r="3" spans="1:7" ht="19.95" customHeight="1" x14ac:dyDescent="0.3">
      <c r="A3" s="45" t="s">
        <v>197</v>
      </c>
      <c r="B3" s="39"/>
      <c r="C3" s="39"/>
      <c r="D3" s="39"/>
      <c r="E3" s="39"/>
      <c r="F3" s="39"/>
      <c r="G3" s="39"/>
    </row>
    <row r="4" spans="1:7" ht="36" customHeight="1" x14ac:dyDescent="0.3">
      <c r="A4" s="18" t="s">
        <v>198</v>
      </c>
      <c r="B4" s="19" t="s">
        <v>152</v>
      </c>
      <c r="C4" s="20" t="s">
        <v>17</v>
      </c>
      <c r="D4" s="19" t="s">
        <v>199</v>
      </c>
      <c r="E4" s="19" t="s">
        <v>200</v>
      </c>
      <c r="F4" s="20"/>
      <c r="G4" s="19"/>
    </row>
    <row r="5" spans="1:7" ht="36" customHeight="1" x14ac:dyDescent="0.3">
      <c r="A5" s="21" t="s">
        <v>201</v>
      </c>
      <c r="B5" s="22" t="s">
        <v>202</v>
      </c>
      <c r="C5" s="23" t="s">
        <v>17</v>
      </c>
      <c r="D5" s="22" t="s">
        <v>203</v>
      </c>
      <c r="E5" s="22" t="s">
        <v>204</v>
      </c>
      <c r="F5" s="23"/>
      <c r="G5" s="22"/>
    </row>
    <row r="6" spans="1:7" ht="36" customHeight="1" x14ac:dyDescent="0.3">
      <c r="A6" s="18" t="s">
        <v>205</v>
      </c>
      <c r="B6" s="19" t="s">
        <v>206</v>
      </c>
      <c r="C6" s="20" t="s">
        <v>17</v>
      </c>
      <c r="D6" s="19" t="s">
        <v>207</v>
      </c>
      <c r="E6" s="19" t="s">
        <v>208</v>
      </c>
      <c r="F6" s="20"/>
      <c r="G6" s="19"/>
    </row>
    <row r="7" spans="1:7" ht="36" customHeight="1" x14ac:dyDescent="0.3">
      <c r="A7" s="21" t="s">
        <v>209</v>
      </c>
      <c r="B7" s="22" t="s">
        <v>210</v>
      </c>
      <c r="C7" s="23" t="s">
        <v>17</v>
      </c>
      <c r="D7" s="22" t="s">
        <v>211</v>
      </c>
      <c r="E7" s="22" t="s">
        <v>212</v>
      </c>
      <c r="F7" s="23"/>
      <c r="G7" s="22"/>
    </row>
    <row r="8" spans="1:7" ht="36" customHeight="1" x14ac:dyDescent="0.3">
      <c r="A8" s="18" t="s">
        <v>213</v>
      </c>
      <c r="B8" s="19" t="s">
        <v>214</v>
      </c>
      <c r="C8" s="20" t="s">
        <v>17</v>
      </c>
      <c r="D8" s="19" t="s">
        <v>215</v>
      </c>
      <c r="E8" s="19" t="s">
        <v>216</v>
      </c>
      <c r="F8" s="20"/>
      <c r="G8" s="19"/>
    </row>
    <row r="9" spans="1:7" ht="36" customHeight="1" x14ac:dyDescent="0.3">
      <c r="A9" s="21" t="s">
        <v>217</v>
      </c>
      <c r="B9" s="22" t="s">
        <v>218</v>
      </c>
      <c r="C9" s="23" t="s">
        <v>17</v>
      </c>
      <c r="D9" s="22" t="s">
        <v>219</v>
      </c>
      <c r="E9" s="22" t="s">
        <v>220</v>
      </c>
      <c r="F9" s="23"/>
      <c r="G9" s="22"/>
    </row>
    <row r="10" spans="1:7" ht="36" customHeight="1" x14ac:dyDescent="0.3">
      <c r="A10" s="18" t="s">
        <v>221</v>
      </c>
      <c r="B10" s="19" t="s">
        <v>222</v>
      </c>
      <c r="C10" s="20" t="s">
        <v>17</v>
      </c>
      <c r="D10" s="19" t="s">
        <v>223</v>
      </c>
      <c r="E10" s="19" t="s">
        <v>224</v>
      </c>
      <c r="F10" s="20"/>
      <c r="G10" s="19"/>
    </row>
    <row r="11" spans="1:7" ht="36" customHeight="1" x14ac:dyDescent="0.3">
      <c r="A11" s="21" t="s">
        <v>225</v>
      </c>
      <c r="B11" s="22" t="s">
        <v>226</v>
      </c>
      <c r="C11" s="23" t="s">
        <v>17</v>
      </c>
      <c r="D11" s="22" t="s">
        <v>227</v>
      </c>
      <c r="E11" s="22" t="s">
        <v>228</v>
      </c>
      <c r="F11" s="23"/>
      <c r="G11" s="22"/>
    </row>
    <row r="12" spans="1:7" ht="36" customHeight="1" x14ac:dyDescent="0.3">
      <c r="A12" s="18" t="s">
        <v>229</v>
      </c>
      <c r="B12" s="19" t="s">
        <v>230</v>
      </c>
      <c r="C12" s="20" t="s">
        <v>17</v>
      </c>
      <c r="D12" s="19" t="s">
        <v>231</v>
      </c>
      <c r="E12" s="19" t="s">
        <v>232</v>
      </c>
      <c r="F12" s="20"/>
      <c r="G12" s="19"/>
    </row>
    <row r="13" spans="1:7" ht="36" customHeight="1" x14ac:dyDescent="0.3">
      <c r="A13" s="21" t="s">
        <v>233</v>
      </c>
      <c r="B13" s="22" t="s">
        <v>234</v>
      </c>
      <c r="C13" s="23" t="s">
        <v>17</v>
      </c>
      <c r="D13" s="22" t="s">
        <v>235</v>
      </c>
      <c r="E13" s="22" t="s">
        <v>236</v>
      </c>
      <c r="F13" s="23"/>
      <c r="G13" s="22"/>
    </row>
    <row r="14" spans="1:7" ht="36" customHeight="1" x14ac:dyDescent="0.3">
      <c r="A14" s="18" t="s">
        <v>237</v>
      </c>
      <c r="B14" s="19" t="s">
        <v>238</v>
      </c>
      <c r="C14" s="20" t="s">
        <v>17</v>
      </c>
      <c r="D14" s="19" t="s">
        <v>239</v>
      </c>
      <c r="E14" s="19" t="s">
        <v>240</v>
      </c>
      <c r="F14" s="20"/>
      <c r="G14" s="19"/>
    </row>
    <row r="15" spans="1:7" ht="36" customHeight="1" x14ac:dyDescent="0.3">
      <c r="A15" s="21" t="s">
        <v>241</v>
      </c>
      <c r="B15" s="22" t="s">
        <v>242</v>
      </c>
      <c r="C15" s="23" t="s">
        <v>17</v>
      </c>
      <c r="D15" s="22" t="s">
        <v>243</v>
      </c>
      <c r="E15" s="22" t="s">
        <v>244</v>
      </c>
      <c r="F15" s="23"/>
      <c r="G15" s="22"/>
    </row>
    <row r="16" spans="1:7" ht="36" customHeight="1" x14ac:dyDescent="0.3">
      <c r="A16" s="18" t="s">
        <v>245</v>
      </c>
      <c r="B16" s="19" t="s">
        <v>246</v>
      </c>
      <c r="C16" s="20" t="s">
        <v>17</v>
      </c>
      <c r="D16" s="19" t="s">
        <v>247</v>
      </c>
      <c r="E16" s="19" t="s">
        <v>248</v>
      </c>
      <c r="F16" s="20"/>
      <c r="G16" s="19"/>
    </row>
    <row r="17" spans="1:7" ht="36" customHeight="1" x14ac:dyDescent="0.3">
      <c r="A17" s="21" t="s">
        <v>249</v>
      </c>
      <c r="B17" s="22" t="s">
        <v>250</v>
      </c>
      <c r="C17" s="23" t="s">
        <v>17</v>
      </c>
      <c r="D17" s="22" t="s">
        <v>251</v>
      </c>
      <c r="E17" s="22" t="s">
        <v>252</v>
      </c>
      <c r="F17" s="23"/>
      <c r="G17" s="22"/>
    </row>
    <row r="18" spans="1:7" ht="36" customHeight="1" x14ac:dyDescent="0.3">
      <c r="A18" s="18" t="s">
        <v>253</v>
      </c>
      <c r="B18" s="19" t="s">
        <v>146</v>
      </c>
      <c r="C18" s="20" t="s">
        <v>17</v>
      </c>
      <c r="D18" s="19" t="s">
        <v>147</v>
      </c>
      <c r="E18" s="19" t="s">
        <v>195</v>
      </c>
      <c r="F18" s="20"/>
      <c r="G18" s="19"/>
    </row>
  </sheetData>
  <mergeCells count="2">
    <mergeCell ref="A3:G3"/>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showGridLines="0" workbookViewId="0">
      <pane ySplit="2" topLeftCell="A3" activePane="bottomLeft" state="frozen"/>
      <selection pane="bottomLeft" sqref="A1:G1"/>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49" t="s">
        <v>254</v>
      </c>
      <c r="B1" s="39"/>
      <c r="C1" s="39"/>
      <c r="D1" s="39"/>
      <c r="E1" s="39"/>
      <c r="F1" s="39"/>
      <c r="G1" s="39"/>
    </row>
    <row r="2" spans="1:7" ht="18" customHeight="1" x14ac:dyDescent="0.3">
      <c r="A2" s="25" t="s">
        <v>85</v>
      </c>
      <c r="B2" s="25" t="s">
        <v>86</v>
      </c>
      <c r="C2" s="25" t="s">
        <v>87</v>
      </c>
      <c r="D2" s="25" t="s">
        <v>88</v>
      </c>
      <c r="E2" s="25" t="s">
        <v>89</v>
      </c>
      <c r="F2" s="25" t="s">
        <v>90</v>
      </c>
      <c r="G2" s="25" t="s">
        <v>91</v>
      </c>
    </row>
    <row r="3" spans="1:7" ht="19.95" customHeight="1" x14ac:dyDescent="0.3">
      <c r="A3" s="45" t="s">
        <v>255</v>
      </c>
      <c r="B3" s="39"/>
      <c r="C3" s="39"/>
      <c r="D3" s="39"/>
      <c r="E3" s="39"/>
      <c r="F3" s="39"/>
      <c r="G3" s="39"/>
    </row>
    <row r="4" spans="1:7" ht="36" customHeight="1" x14ac:dyDescent="0.3">
      <c r="A4" s="18" t="s">
        <v>256</v>
      </c>
      <c r="B4" s="19" t="s">
        <v>257</v>
      </c>
      <c r="C4" s="20" t="s">
        <v>8</v>
      </c>
      <c r="D4" s="19" t="s">
        <v>258</v>
      </c>
      <c r="E4" s="19" t="s">
        <v>259</v>
      </c>
      <c r="F4" s="20"/>
      <c r="G4" s="19"/>
    </row>
    <row r="5" spans="1:7" ht="36" customHeight="1" x14ac:dyDescent="0.3">
      <c r="A5" s="21" t="s">
        <v>260</v>
      </c>
      <c r="B5" s="22" t="s">
        <v>261</v>
      </c>
      <c r="C5" s="23" t="s">
        <v>8</v>
      </c>
      <c r="D5" s="22" t="s">
        <v>262</v>
      </c>
      <c r="E5" s="22" t="s">
        <v>263</v>
      </c>
      <c r="F5" s="23"/>
      <c r="G5" s="22"/>
    </row>
    <row r="6" spans="1:7" ht="36" customHeight="1" x14ac:dyDescent="0.3">
      <c r="A6" s="18" t="s">
        <v>264</v>
      </c>
      <c r="B6" s="19" t="s">
        <v>265</v>
      </c>
      <c r="C6" s="20" t="s">
        <v>8</v>
      </c>
      <c r="D6" s="19" t="s">
        <v>266</v>
      </c>
      <c r="E6" s="19" t="s">
        <v>267</v>
      </c>
      <c r="F6" s="20"/>
      <c r="G6" s="19"/>
    </row>
    <row r="7" spans="1:7" ht="36" customHeight="1" x14ac:dyDescent="0.3">
      <c r="A7" s="21" t="s">
        <v>268</v>
      </c>
      <c r="B7" s="22" t="s">
        <v>269</v>
      </c>
      <c r="C7" s="23" t="s">
        <v>8</v>
      </c>
      <c r="D7" s="22" t="s">
        <v>270</v>
      </c>
      <c r="E7" s="22" t="s">
        <v>271</v>
      </c>
      <c r="F7" s="23"/>
      <c r="G7" s="22"/>
    </row>
    <row r="8" spans="1:7" ht="36" customHeight="1" x14ac:dyDescent="0.3">
      <c r="A8" s="18" t="s">
        <v>272</v>
      </c>
      <c r="B8" s="19" t="s">
        <v>273</v>
      </c>
      <c r="C8" s="20" t="s">
        <v>8</v>
      </c>
      <c r="D8" s="19" t="s">
        <v>274</v>
      </c>
      <c r="E8" s="19" t="s">
        <v>275</v>
      </c>
      <c r="F8" s="20"/>
      <c r="G8" s="19"/>
    </row>
    <row r="9" spans="1:7" ht="36" customHeight="1" x14ac:dyDescent="0.3">
      <c r="A9" s="21" t="s">
        <v>276</v>
      </c>
      <c r="B9" s="22" t="s">
        <v>277</v>
      </c>
      <c r="C9" s="23" t="s">
        <v>17</v>
      </c>
      <c r="D9" s="22" t="s">
        <v>278</v>
      </c>
      <c r="E9" s="22" t="s">
        <v>279</v>
      </c>
      <c r="F9" s="23"/>
      <c r="G9" s="22"/>
    </row>
    <row r="10" spans="1:7" ht="36" customHeight="1" x14ac:dyDescent="0.3">
      <c r="A10" s="18" t="s">
        <v>280</v>
      </c>
      <c r="B10" s="19" t="s">
        <v>281</v>
      </c>
      <c r="C10" s="20" t="s">
        <v>17</v>
      </c>
      <c r="D10" s="19" t="s">
        <v>282</v>
      </c>
      <c r="E10" s="19" t="s">
        <v>283</v>
      </c>
      <c r="F10" s="20"/>
      <c r="G10" s="19"/>
    </row>
    <row r="11" spans="1:7" ht="36" customHeight="1" x14ac:dyDescent="0.3">
      <c r="A11" s="21" t="s">
        <v>284</v>
      </c>
      <c r="B11" s="22" t="s">
        <v>285</v>
      </c>
      <c r="C11" s="23" t="s">
        <v>17</v>
      </c>
      <c r="D11" s="22" t="s">
        <v>286</v>
      </c>
      <c r="E11" s="22" t="s">
        <v>287</v>
      </c>
      <c r="F11" s="23"/>
      <c r="G11" s="22"/>
    </row>
    <row r="12" spans="1:7" ht="36" customHeight="1" x14ac:dyDescent="0.3">
      <c r="A12" s="18" t="s">
        <v>288</v>
      </c>
      <c r="B12" s="19" t="s">
        <v>289</v>
      </c>
      <c r="C12" s="20" t="s">
        <v>8</v>
      </c>
      <c r="D12" s="19" t="s">
        <v>290</v>
      </c>
      <c r="E12" s="19" t="s">
        <v>291</v>
      </c>
      <c r="F12" s="20"/>
      <c r="G12" s="19"/>
    </row>
    <row r="13" spans="1:7" ht="36" customHeight="1" x14ac:dyDescent="0.3">
      <c r="A13" s="21" t="s">
        <v>292</v>
      </c>
      <c r="B13" s="22" t="s">
        <v>293</v>
      </c>
      <c r="C13" s="23" t="s">
        <v>17</v>
      </c>
      <c r="D13" s="22" t="s">
        <v>294</v>
      </c>
      <c r="E13" s="22" t="s">
        <v>295</v>
      </c>
      <c r="F13" s="23"/>
      <c r="G13" s="22"/>
    </row>
    <row r="14" spans="1:7" ht="36" customHeight="1" x14ac:dyDescent="0.3">
      <c r="A14" s="18" t="s">
        <v>296</v>
      </c>
      <c r="B14" s="19" t="s">
        <v>297</v>
      </c>
      <c r="C14" s="20" t="s">
        <v>8</v>
      </c>
      <c r="D14" s="19" t="s">
        <v>298</v>
      </c>
      <c r="E14" s="19" t="s">
        <v>299</v>
      </c>
      <c r="F14" s="20"/>
      <c r="G14" s="19"/>
    </row>
  </sheetData>
  <mergeCells count="2">
    <mergeCell ref="A3:G3"/>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showGridLines="0" workbookViewId="0">
      <pane ySplit="2" topLeftCell="A3" activePane="bottomLeft" state="frozen"/>
      <selection pane="bottomLeft" sqref="A1:G1"/>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50" t="s">
        <v>300</v>
      </c>
      <c r="B1" s="39"/>
      <c r="C1" s="39"/>
      <c r="D1" s="39"/>
      <c r="E1" s="39"/>
      <c r="F1" s="39"/>
      <c r="G1" s="39"/>
    </row>
    <row r="2" spans="1:7" ht="18" customHeight="1" x14ac:dyDescent="0.3">
      <c r="A2" s="26" t="s">
        <v>85</v>
      </c>
      <c r="B2" s="26" t="s">
        <v>86</v>
      </c>
      <c r="C2" s="26" t="s">
        <v>87</v>
      </c>
      <c r="D2" s="26" t="s">
        <v>88</v>
      </c>
      <c r="E2" s="26" t="s">
        <v>89</v>
      </c>
      <c r="F2" s="26" t="s">
        <v>90</v>
      </c>
      <c r="G2" s="26" t="s">
        <v>91</v>
      </c>
    </row>
    <row r="3" spans="1:7" ht="19.95" customHeight="1" x14ac:dyDescent="0.3">
      <c r="A3" s="45" t="s">
        <v>301</v>
      </c>
      <c r="B3" s="39"/>
      <c r="C3" s="39"/>
      <c r="D3" s="39"/>
      <c r="E3" s="39"/>
      <c r="F3" s="39"/>
      <c r="G3" s="39"/>
    </row>
    <row r="4" spans="1:7" ht="36" customHeight="1" x14ac:dyDescent="0.3">
      <c r="A4" s="18" t="s">
        <v>302</v>
      </c>
      <c r="B4" s="19" t="s">
        <v>303</v>
      </c>
      <c r="C4" s="20" t="s">
        <v>70</v>
      </c>
      <c r="D4" s="19" t="s">
        <v>304</v>
      </c>
      <c r="E4" s="19" t="s">
        <v>305</v>
      </c>
      <c r="F4" s="20"/>
      <c r="G4" s="19"/>
    </row>
    <row r="5" spans="1:7" ht="36" customHeight="1" x14ac:dyDescent="0.3">
      <c r="A5" s="21" t="s">
        <v>306</v>
      </c>
      <c r="B5" s="22" t="s">
        <v>307</v>
      </c>
      <c r="C5" s="23" t="s">
        <v>26</v>
      </c>
      <c r="D5" s="22" t="s">
        <v>308</v>
      </c>
      <c r="E5" s="22" t="s">
        <v>309</v>
      </c>
      <c r="F5" s="23"/>
      <c r="G5" s="22"/>
    </row>
    <row r="6" spans="1:7" ht="36" customHeight="1" x14ac:dyDescent="0.3">
      <c r="A6" s="18" t="s">
        <v>310</v>
      </c>
      <c r="B6" s="19" t="s">
        <v>311</v>
      </c>
      <c r="C6" s="20" t="s">
        <v>26</v>
      </c>
      <c r="D6" s="19" t="s">
        <v>203</v>
      </c>
      <c r="E6" s="19" t="s">
        <v>312</v>
      </c>
      <c r="F6" s="20"/>
      <c r="G6" s="19"/>
    </row>
    <row r="7" spans="1:7" ht="36" customHeight="1" x14ac:dyDescent="0.3">
      <c r="A7" s="21" t="s">
        <v>313</v>
      </c>
      <c r="B7" s="22" t="s">
        <v>314</v>
      </c>
      <c r="C7" s="23" t="s">
        <v>26</v>
      </c>
      <c r="D7" s="22" t="s">
        <v>207</v>
      </c>
      <c r="E7" s="22" t="s">
        <v>315</v>
      </c>
      <c r="F7" s="23"/>
      <c r="G7" s="22"/>
    </row>
    <row r="8" spans="1:7" ht="36" customHeight="1" x14ac:dyDescent="0.3">
      <c r="A8" s="18" t="s">
        <v>316</v>
      </c>
      <c r="B8" s="19" t="s">
        <v>317</v>
      </c>
      <c r="C8" s="20" t="s">
        <v>26</v>
      </c>
      <c r="D8" s="19" t="s">
        <v>318</v>
      </c>
      <c r="E8" s="19" t="s">
        <v>319</v>
      </c>
      <c r="F8" s="20"/>
      <c r="G8" s="19"/>
    </row>
    <row r="9" spans="1:7" ht="36" customHeight="1" x14ac:dyDescent="0.3">
      <c r="A9" s="21" t="s">
        <v>320</v>
      </c>
      <c r="B9" s="22" t="s">
        <v>321</v>
      </c>
      <c r="C9" s="23" t="s">
        <v>26</v>
      </c>
      <c r="D9" s="22" t="s">
        <v>322</v>
      </c>
      <c r="E9" s="22" t="s">
        <v>323</v>
      </c>
      <c r="F9" s="23"/>
      <c r="G9" s="22"/>
    </row>
    <row r="10" spans="1:7" ht="36" customHeight="1" x14ac:dyDescent="0.3">
      <c r="A10" s="18" t="s">
        <v>324</v>
      </c>
      <c r="B10" s="19" t="s">
        <v>325</v>
      </c>
      <c r="C10" s="20" t="s">
        <v>26</v>
      </c>
      <c r="D10" s="19" t="s">
        <v>326</v>
      </c>
      <c r="E10" s="19" t="s">
        <v>327</v>
      </c>
      <c r="F10" s="20"/>
      <c r="G10" s="19"/>
    </row>
    <row r="11" spans="1:7" ht="36" customHeight="1" x14ac:dyDescent="0.3">
      <c r="A11" s="21" t="s">
        <v>328</v>
      </c>
      <c r="B11" s="22" t="s">
        <v>329</v>
      </c>
      <c r="C11" s="23" t="s">
        <v>26</v>
      </c>
      <c r="D11" s="22" t="s">
        <v>330</v>
      </c>
      <c r="E11" s="22" t="s">
        <v>331</v>
      </c>
      <c r="F11" s="23"/>
      <c r="G11" s="22"/>
    </row>
    <row r="12" spans="1:7" ht="36" customHeight="1" x14ac:dyDescent="0.3">
      <c r="A12" s="18" t="s">
        <v>332</v>
      </c>
      <c r="B12" s="19" t="s">
        <v>333</v>
      </c>
      <c r="C12" s="20" t="s">
        <v>8</v>
      </c>
      <c r="D12" s="19" t="s">
        <v>334</v>
      </c>
      <c r="E12" s="19" t="s">
        <v>335</v>
      </c>
      <c r="F12" s="20"/>
      <c r="G12" s="19"/>
    </row>
    <row r="13" spans="1:7" ht="36" customHeight="1" x14ac:dyDescent="0.3">
      <c r="A13" s="21" t="s">
        <v>336</v>
      </c>
      <c r="B13" s="22" t="s">
        <v>337</v>
      </c>
      <c r="C13" s="23" t="s">
        <v>26</v>
      </c>
      <c r="D13" s="22" t="s">
        <v>338</v>
      </c>
      <c r="E13" s="22" t="s">
        <v>339</v>
      </c>
      <c r="F13" s="23"/>
      <c r="G13" s="22"/>
    </row>
    <row r="14" spans="1:7" ht="36" customHeight="1" x14ac:dyDescent="0.3">
      <c r="A14" s="18" t="s">
        <v>340</v>
      </c>
      <c r="B14" s="19" t="s">
        <v>341</v>
      </c>
      <c r="C14" s="20" t="s">
        <v>26</v>
      </c>
      <c r="D14" s="19" t="s">
        <v>342</v>
      </c>
      <c r="E14" s="19" t="s">
        <v>343</v>
      </c>
      <c r="F14" s="20"/>
      <c r="G14" s="19"/>
    </row>
    <row r="15" spans="1:7" ht="36" customHeight="1" x14ac:dyDescent="0.3">
      <c r="A15" s="21" t="s">
        <v>344</v>
      </c>
      <c r="B15" s="22" t="s">
        <v>345</v>
      </c>
      <c r="C15" s="23" t="s">
        <v>26</v>
      </c>
      <c r="D15" s="22" t="s">
        <v>346</v>
      </c>
      <c r="E15" s="22" t="s">
        <v>347</v>
      </c>
      <c r="F15" s="23"/>
      <c r="G15" s="22"/>
    </row>
  </sheetData>
  <mergeCells count="2">
    <mergeCell ref="A3:G3"/>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showGridLines="0" workbookViewId="0">
      <pane ySplit="2" topLeftCell="A3" activePane="bottomLeft" state="frozen"/>
      <selection pane="bottomLeft" sqref="A1:G1"/>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51" t="s">
        <v>348</v>
      </c>
      <c r="B1" s="39"/>
      <c r="C1" s="39"/>
      <c r="D1" s="39"/>
      <c r="E1" s="39"/>
      <c r="F1" s="39"/>
      <c r="G1" s="39"/>
    </row>
    <row r="2" spans="1:7" ht="18" customHeight="1" x14ac:dyDescent="0.3">
      <c r="A2" s="27" t="s">
        <v>85</v>
      </c>
      <c r="B2" s="27" t="s">
        <v>86</v>
      </c>
      <c r="C2" s="27" t="s">
        <v>87</v>
      </c>
      <c r="D2" s="27" t="s">
        <v>88</v>
      </c>
      <c r="E2" s="27" t="s">
        <v>89</v>
      </c>
      <c r="F2" s="27" t="s">
        <v>90</v>
      </c>
      <c r="G2" s="27" t="s">
        <v>91</v>
      </c>
    </row>
    <row r="3" spans="1:7" ht="19.95" customHeight="1" x14ac:dyDescent="0.3">
      <c r="A3" s="45" t="s">
        <v>349</v>
      </c>
      <c r="B3" s="39"/>
      <c r="C3" s="39"/>
      <c r="D3" s="39"/>
      <c r="E3" s="39"/>
      <c r="F3" s="39"/>
      <c r="G3" s="39"/>
    </row>
    <row r="4" spans="1:7" ht="36" customHeight="1" x14ac:dyDescent="0.3">
      <c r="A4" s="18" t="s">
        <v>350</v>
      </c>
      <c r="B4" s="19" t="s">
        <v>351</v>
      </c>
      <c r="C4" s="20" t="s">
        <v>17</v>
      </c>
      <c r="D4" s="19" t="s">
        <v>352</v>
      </c>
      <c r="E4" s="19" t="s">
        <v>353</v>
      </c>
      <c r="F4" s="20"/>
      <c r="G4" s="19"/>
    </row>
    <row r="5" spans="1:7" ht="36" customHeight="1" x14ac:dyDescent="0.3">
      <c r="A5" s="21" t="s">
        <v>354</v>
      </c>
      <c r="B5" s="22" t="s">
        <v>355</v>
      </c>
      <c r="C5" s="23" t="s">
        <v>17</v>
      </c>
      <c r="D5" s="22" t="s">
        <v>356</v>
      </c>
      <c r="E5" s="22" t="s">
        <v>357</v>
      </c>
      <c r="F5" s="23"/>
      <c r="G5" s="22"/>
    </row>
    <row r="6" spans="1:7" ht="36" customHeight="1" x14ac:dyDescent="0.3">
      <c r="A6" s="18" t="s">
        <v>358</v>
      </c>
      <c r="B6" s="19" t="s">
        <v>359</v>
      </c>
      <c r="C6" s="20" t="s">
        <v>17</v>
      </c>
      <c r="D6" s="19" t="s">
        <v>360</v>
      </c>
      <c r="E6" s="19" t="s">
        <v>361</v>
      </c>
      <c r="F6" s="20"/>
      <c r="G6" s="19"/>
    </row>
    <row r="7" spans="1:7" ht="36" customHeight="1" x14ac:dyDescent="0.3">
      <c r="A7" s="21" t="s">
        <v>362</v>
      </c>
      <c r="B7" s="22" t="s">
        <v>363</v>
      </c>
      <c r="C7" s="23" t="s">
        <v>8</v>
      </c>
      <c r="D7" s="22" t="s">
        <v>364</v>
      </c>
      <c r="E7" s="22" t="s">
        <v>365</v>
      </c>
      <c r="F7" s="23"/>
      <c r="G7" s="22"/>
    </row>
    <row r="8" spans="1:7" ht="36" customHeight="1" x14ac:dyDescent="0.3">
      <c r="A8" s="18" t="s">
        <v>366</v>
      </c>
      <c r="B8" s="19" t="s">
        <v>367</v>
      </c>
      <c r="C8" s="20" t="s">
        <v>8</v>
      </c>
      <c r="D8" s="19" t="s">
        <v>368</v>
      </c>
      <c r="E8" s="19" t="s">
        <v>369</v>
      </c>
      <c r="F8" s="20"/>
      <c r="G8" s="19"/>
    </row>
    <row r="9" spans="1:7" ht="36" customHeight="1" x14ac:dyDescent="0.3">
      <c r="A9" s="21" t="s">
        <v>370</v>
      </c>
      <c r="B9" s="22" t="s">
        <v>371</v>
      </c>
      <c r="C9" s="23" t="s">
        <v>26</v>
      </c>
      <c r="D9" s="22" t="s">
        <v>372</v>
      </c>
      <c r="E9" s="22" t="s">
        <v>373</v>
      </c>
      <c r="F9" s="23"/>
      <c r="G9" s="22"/>
    </row>
    <row r="10" spans="1:7" ht="36" customHeight="1" x14ac:dyDescent="0.3">
      <c r="A10" s="18" t="s">
        <v>374</v>
      </c>
      <c r="B10" s="19" t="s">
        <v>375</v>
      </c>
      <c r="C10" s="20" t="s">
        <v>26</v>
      </c>
      <c r="D10" s="19" t="s">
        <v>376</v>
      </c>
      <c r="E10" s="19" t="s">
        <v>377</v>
      </c>
      <c r="F10" s="20"/>
      <c r="G10" s="19"/>
    </row>
    <row r="11" spans="1:7" ht="36" customHeight="1" x14ac:dyDescent="0.3">
      <c r="A11" s="21" t="s">
        <v>378</v>
      </c>
      <c r="B11" s="22" t="s">
        <v>379</v>
      </c>
      <c r="C11" s="23" t="s">
        <v>26</v>
      </c>
      <c r="D11" s="22" t="s">
        <v>380</v>
      </c>
      <c r="E11" s="22" t="s">
        <v>381</v>
      </c>
      <c r="F11" s="23"/>
      <c r="G11" s="22"/>
    </row>
  </sheetData>
  <mergeCells count="2">
    <mergeCell ref="A3:G3"/>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
  <sheetViews>
    <sheetView showGridLines="0" workbookViewId="0">
      <pane ySplit="2" topLeftCell="A9" activePane="bottomLeft" state="frozen"/>
      <selection pane="bottomLeft" sqref="A1:G1"/>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52" t="s">
        <v>382</v>
      </c>
      <c r="B1" s="39"/>
      <c r="C1" s="39"/>
      <c r="D1" s="39"/>
      <c r="E1" s="39"/>
      <c r="F1" s="39"/>
      <c r="G1" s="39"/>
    </row>
    <row r="2" spans="1:7" ht="18" customHeight="1" x14ac:dyDescent="0.3">
      <c r="A2" s="28" t="s">
        <v>85</v>
      </c>
      <c r="B2" s="28" t="s">
        <v>86</v>
      </c>
      <c r="C2" s="28" t="s">
        <v>87</v>
      </c>
      <c r="D2" s="28" t="s">
        <v>88</v>
      </c>
      <c r="E2" s="28" t="s">
        <v>89</v>
      </c>
      <c r="F2" s="28" t="s">
        <v>90</v>
      </c>
      <c r="G2" s="28" t="s">
        <v>91</v>
      </c>
    </row>
    <row r="3" spans="1:7" ht="19.95" customHeight="1" x14ac:dyDescent="0.3">
      <c r="A3" s="45" t="s">
        <v>383</v>
      </c>
      <c r="B3" s="39"/>
      <c r="C3" s="39"/>
      <c r="D3" s="39"/>
      <c r="E3" s="39"/>
      <c r="F3" s="39"/>
      <c r="G3" s="39"/>
    </row>
    <row r="4" spans="1:7" ht="36" customHeight="1" x14ac:dyDescent="0.3">
      <c r="A4" s="18" t="s">
        <v>384</v>
      </c>
      <c r="B4" s="19" t="s">
        <v>385</v>
      </c>
      <c r="C4" s="20" t="s">
        <v>8</v>
      </c>
      <c r="D4" s="19" t="s">
        <v>386</v>
      </c>
      <c r="E4" s="19" t="s">
        <v>387</v>
      </c>
      <c r="F4" s="20"/>
      <c r="G4" s="19"/>
    </row>
    <row r="5" spans="1:7" ht="36" customHeight="1" x14ac:dyDescent="0.3">
      <c r="A5" s="21" t="s">
        <v>388</v>
      </c>
      <c r="B5" s="22" t="s">
        <v>389</v>
      </c>
      <c r="C5" s="23" t="s">
        <v>26</v>
      </c>
      <c r="D5" s="22" t="s">
        <v>390</v>
      </c>
      <c r="E5" s="22" t="s">
        <v>391</v>
      </c>
      <c r="F5" s="23"/>
      <c r="G5" s="22"/>
    </row>
    <row r="6" spans="1:7" ht="36" customHeight="1" x14ac:dyDescent="0.3">
      <c r="A6" s="18" t="s">
        <v>392</v>
      </c>
      <c r="B6" s="19" t="s">
        <v>393</v>
      </c>
      <c r="C6" s="20" t="s">
        <v>8</v>
      </c>
      <c r="D6" s="19" t="s">
        <v>394</v>
      </c>
      <c r="E6" s="19" t="s">
        <v>395</v>
      </c>
      <c r="F6" s="20"/>
      <c r="G6" s="19"/>
    </row>
    <row r="7" spans="1:7" ht="36" customHeight="1" x14ac:dyDescent="0.3">
      <c r="A7" s="21" t="s">
        <v>396</v>
      </c>
      <c r="B7" s="22" t="s">
        <v>397</v>
      </c>
      <c r="C7" s="23" t="s">
        <v>17</v>
      </c>
      <c r="D7" s="22" t="s">
        <v>398</v>
      </c>
      <c r="E7" s="22" t="s">
        <v>399</v>
      </c>
      <c r="F7" s="23"/>
      <c r="G7" s="22"/>
    </row>
    <row r="8" spans="1:7" ht="36" customHeight="1" x14ac:dyDescent="0.3">
      <c r="A8" s="18" t="s">
        <v>400</v>
      </c>
      <c r="B8" s="19" t="s">
        <v>401</v>
      </c>
      <c r="C8" s="20" t="s">
        <v>26</v>
      </c>
      <c r="D8" s="19" t="s">
        <v>402</v>
      </c>
      <c r="E8" s="19" t="s">
        <v>403</v>
      </c>
      <c r="F8" s="20"/>
      <c r="G8" s="19"/>
    </row>
    <row r="9" spans="1:7" ht="36" customHeight="1" x14ac:dyDescent="0.3">
      <c r="A9" s="21" t="s">
        <v>404</v>
      </c>
      <c r="B9" s="22" t="s">
        <v>405</v>
      </c>
      <c r="C9" s="23" t="s">
        <v>17</v>
      </c>
      <c r="D9" s="22" t="s">
        <v>406</v>
      </c>
      <c r="E9" s="22" t="s">
        <v>335</v>
      </c>
      <c r="F9" s="23"/>
      <c r="G9" s="22"/>
    </row>
    <row r="10" spans="1:7" ht="36" customHeight="1" x14ac:dyDescent="0.3">
      <c r="A10" s="18" t="s">
        <v>407</v>
      </c>
      <c r="B10" s="19" t="s">
        <v>408</v>
      </c>
      <c r="C10" s="20" t="s">
        <v>13</v>
      </c>
      <c r="D10" s="19" t="s">
        <v>409</v>
      </c>
      <c r="E10" s="19" t="s">
        <v>410</v>
      </c>
      <c r="F10" s="20"/>
      <c r="G10" s="19"/>
    </row>
    <row r="11" spans="1:7" ht="36" customHeight="1" x14ac:dyDescent="0.3">
      <c r="A11" s="21" t="s">
        <v>411</v>
      </c>
      <c r="B11" s="22" t="s">
        <v>412</v>
      </c>
      <c r="C11" s="23" t="s">
        <v>13</v>
      </c>
      <c r="D11" s="22" t="s">
        <v>413</v>
      </c>
      <c r="E11" s="22" t="s">
        <v>414</v>
      </c>
      <c r="F11" s="23"/>
      <c r="G11" s="22"/>
    </row>
    <row r="12" spans="1:7" ht="36" customHeight="1" x14ac:dyDescent="0.3">
      <c r="A12" s="18" t="s">
        <v>415</v>
      </c>
      <c r="B12" s="19" t="s">
        <v>416</v>
      </c>
      <c r="C12" s="20" t="s">
        <v>8</v>
      </c>
      <c r="D12" s="19" t="s">
        <v>417</v>
      </c>
      <c r="E12" s="19" t="s">
        <v>418</v>
      </c>
      <c r="F12" s="20"/>
      <c r="G12" s="19"/>
    </row>
  </sheetData>
  <mergeCells count="2">
    <mergeCell ref="A3:G3"/>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showGridLines="0" workbookViewId="0">
      <pane ySplit="2" topLeftCell="A3" activePane="bottomLeft" state="frozen"/>
      <selection pane="bottomLeft" activeCell="H7" sqref="H7"/>
    </sheetView>
  </sheetViews>
  <sheetFormatPr defaultRowHeight="14.4" x14ac:dyDescent="0.3"/>
  <cols>
    <col min="1" max="1" width="8" customWidth="1"/>
    <col min="2" max="2" width="32" customWidth="1"/>
    <col min="3" max="3" width="8" customWidth="1"/>
    <col min="4" max="4" width="28" customWidth="1"/>
    <col min="5" max="5" width="38" customWidth="1"/>
    <col min="6" max="6" width="9" customWidth="1"/>
    <col min="7" max="7" width="32" customWidth="1"/>
  </cols>
  <sheetData>
    <row r="1" spans="1:7" ht="28.05" customHeight="1" x14ac:dyDescent="0.3">
      <c r="A1" s="53" t="s">
        <v>419</v>
      </c>
      <c r="B1" s="39"/>
      <c r="C1" s="39"/>
      <c r="D1" s="39"/>
      <c r="E1" s="39"/>
      <c r="F1" s="39"/>
      <c r="G1" s="39"/>
    </row>
    <row r="2" spans="1:7" ht="18" customHeight="1" x14ac:dyDescent="0.3">
      <c r="A2" s="29" t="s">
        <v>85</v>
      </c>
      <c r="B2" s="29" t="s">
        <v>86</v>
      </c>
      <c r="C2" s="29" t="s">
        <v>87</v>
      </c>
      <c r="D2" s="29" t="s">
        <v>88</v>
      </c>
      <c r="E2" s="29" t="s">
        <v>89</v>
      </c>
      <c r="F2" s="29" t="s">
        <v>90</v>
      </c>
      <c r="G2" s="29" t="s">
        <v>91</v>
      </c>
    </row>
    <row r="3" spans="1:7" ht="19.95" customHeight="1" x14ac:dyDescent="0.3">
      <c r="A3" s="45" t="s">
        <v>420</v>
      </c>
      <c r="B3" s="39"/>
      <c r="C3" s="39"/>
      <c r="D3" s="39"/>
      <c r="E3" s="39"/>
      <c r="F3" s="39"/>
      <c r="G3" s="39"/>
    </row>
    <row r="4" spans="1:7" ht="36" customHeight="1" x14ac:dyDescent="0.3">
      <c r="A4" s="18" t="s">
        <v>421</v>
      </c>
      <c r="B4" s="19" t="s">
        <v>422</v>
      </c>
      <c r="C4" s="20" t="s">
        <v>70</v>
      </c>
      <c r="D4" s="19" t="s">
        <v>423</v>
      </c>
      <c r="E4" s="19" t="s">
        <v>424</v>
      </c>
      <c r="F4" s="20"/>
      <c r="G4" s="19"/>
    </row>
    <row r="5" spans="1:7" ht="36" customHeight="1" x14ac:dyDescent="0.3">
      <c r="A5" s="21" t="s">
        <v>425</v>
      </c>
      <c r="B5" s="22" t="s">
        <v>426</v>
      </c>
      <c r="C5" s="23" t="s">
        <v>70</v>
      </c>
      <c r="D5" s="22" t="s">
        <v>427</v>
      </c>
      <c r="E5" s="22" t="s">
        <v>428</v>
      </c>
      <c r="F5" s="23"/>
      <c r="G5" s="22"/>
    </row>
    <row r="6" spans="1:7" ht="36" customHeight="1" x14ac:dyDescent="0.3">
      <c r="A6" s="18" t="s">
        <v>429</v>
      </c>
      <c r="B6" s="19" t="s">
        <v>430</v>
      </c>
      <c r="C6" s="20" t="s">
        <v>70</v>
      </c>
      <c r="D6" s="19" t="s">
        <v>431</v>
      </c>
      <c r="E6" s="19" t="s">
        <v>432</v>
      </c>
      <c r="F6" s="20"/>
      <c r="G6" s="19"/>
    </row>
    <row r="7" spans="1:7" ht="36" customHeight="1" x14ac:dyDescent="0.3">
      <c r="A7" s="21" t="s">
        <v>433</v>
      </c>
      <c r="B7" s="22" t="s">
        <v>434</v>
      </c>
      <c r="C7" s="23" t="s">
        <v>70</v>
      </c>
      <c r="D7" s="22" t="s">
        <v>435</v>
      </c>
      <c r="E7" s="22" t="s">
        <v>436</v>
      </c>
      <c r="F7" s="23"/>
      <c r="G7" s="22"/>
    </row>
    <row r="8" spans="1:7" ht="36" customHeight="1" x14ac:dyDescent="0.3">
      <c r="A8" s="18" t="s">
        <v>437</v>
      </c>
      <c r="B8" s="19" t="s">
        <v>438</v>
      </c>
      <c r="C8" s="20" t="s">
        <v>70</v>
      </c>
      <c r="D8" s="19" t="s">
        <v>439</v>
      </c>
      <c r="E8" s="19" t="s">
        <v>440</v>
      </c>
      <c r="F8" s="20"/>
      <c r="G8" s="19"/>
    </row>
    <row r="9" spans="1:7" ht="36" customHeight="1" x14ac:dyDescent="0.3">
      <c r="A9" s="21" t="s">
        <v>441</v>
      </c>
      <c r="B9" s="22" t="s">
        <v>442</v>
      </c>
      <c r="C9" s="23" t="s">
        <v>70</v>
      </c>
      <c r="D9" s="22" t="s">
        <v>443</v>
      </c>
      <c r="E9" s="22" t="s">
        <v>444</v>
      </c>
      <c r="F9" s="23"/>
      <c r="G9" s="22"/>
    </row>
  </sheetData>
  <mergeCells count="2">
    <mergeCell ref="A3:G3"/>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showGridLines="0" workbookViewId="0">
      <selection activeCell="E12" sqref="E12"/>
    </sheetView>
  </sheetViews>
  <sheetFormatPr defaultRowHeight="14.4" x14ac:dyDescent="0.3"/>
  <cols>
    <col min="1" max="1" width="10" customWidth="1"/>
    <col min="2" max="2" width="28" customWidth="1"/>
    <col min="3" max="3" width="13" customWidth="1"/>
    <col min="4" max="7" width="10" customWidth="1"/>
  </cols>
  <sheetData>
    <row r="1" spans="1:7" ht="28.05" customHeight="1" x14ac:dyDescent="0.3">
      <c r="A1" s="55" t="s">
        <v>445</v>
      </c>
      <c r="B1" s="39"/>
      <c r="C1" s="39"/>
      <c r="D1" s="39"/>
      <c r="E1" s="39"/>
      <c r="F1" s="39"/>
      <c r="G1" s="39"/>
    </row>
    <row r="2" spans="1:7" ht="18" customHeight="1" x14ac:dyDescent="0.3">
      <c r="A2" s="54" t="s">
        <v>446</v>
      </c>
      <c r="B2" s="39"/>
      <c r="C2" s="39"/>
      <c r="D2" s="39"/>
      <c r="E2" s="39"/>
      <c r="F2" s="39"/>
      <c r="G2" s="39"/>
    </row>
    <row r="3" spans="1:7" ht="19.95" customHeight="1" x14ac:dyDescent="0.3">
      <c r="A3" s="30" t="s">
        <v>32</v>
      </c>
      <c r="B3" s="30" t="s">
        <v>33</v>
      </c>
      <c r="C3" s="30" t="s">
        <v>447</v>
      </c>
      <c r="D3" s="30" t="s">
        <v>448</v>
      </c>
      <c r="E3" s="30" t="s">
        <v>449</v>
      </c>
      <c r="F3" s="30" t="s">
        <v>450</v>
      </c>
      <c r="G3" s="30" t="s">
        <v>451</v>
      </c>
    </row>
    <row r="4" spans="1:7" ht="19.95" customHeight="1" x14ac:dyDescent="0.3">
      <c r="A4" s="12" t="s">
        <v>37</v>
      </c>
      <c r="B4" s="13" t="s">
        <v>38</v>
      </c>
      <c r="C4" s="14">
        <v>14</v>
      </c>
      <c r="D4" s="31">
        <v>0</v>
      </c>
      <c r="E4" s="31">
        <v>0</v>
      </c>
      <c r="F4" s="31">
        <v>0</v>
      </c>
      <c r="G4" s="32">
        <f t="shared" ref="G4:G12" si="0">IF(C4=0,"-",D4/C4)</f>
        <v>0</v>
      </c>
    </row>
    <row r="5" spans="1:7" ht="19.95" customHeight="1" x14ac:dyDescent="0.3">
      <c r="A5" s="15" t="s">
        <v>41</v>
      </c>
      <c r="B5" s="16" t="s">
        <v>42</v>
      </c>
      <c r="C5" s="17">
        <v>12</v>
      </c>
      <c r="D5" s="31">
        <v>0</v>
      </c>
      <c r="E5" s="31">
        <v>0</v>
      </c>
      <c r="F5" s="31">
        <v>0</v>
      </c>
      <c r="G5" s="33">
        <f t="shared" si="0"/>
        <v>0</v>
      </c>
    </row>
    <row r="6" spans="1:7" ht="19.95" customHeight="1" x14ac:dyDescent="0.3">
      <c r="A6" s="12" t="s">
        <v>45</v>
      </c>
      <c r="B6" s="13" t="s">
        <v>46</v>
      </c>
      <c r="C6" s="14">
        <v>15</v>
      </c>
      <c r="D6" s="31">
        <v>0</v>
      </c>
      <c r="E6" s="31">
        <v>0</v>
      </c>
      <c r="F6" s="31">
        <v>0</v>
      </c>
      <c r="G6" s="32">
        <f t="shared" si="0"/>
        <v>0</v>
      </c>
    </row>
    <row r="7" spans="1:7" ht="19.95" customHeight="1" x14ac:dyDescent="0.3">
      <c r="A7" s="15" t="s">
        <v>49</v>
      </c>
      <c r="B7" s="16" t="s">
        <v>50</v>
      </c>
      <c r="C7" s="17">
        <v>10</v>
      </c>
      <c r="D7" s="31">
        <v>0</v>
      </c>
      <c r="E7" s="31">
        <v>0</v>
      </c>
      <c r="F7" s="31">
        <v>0</v>
      </c>
      <c r="G7" s="33">
        <f t="shared" si="0"/>
        <v>0</v>
      </c>
    </row>
    <row r="8" spans="1:7" ht="19.95" customHeight="1" x14ac:dyDescent="0.3">
      <c r="A8" s="12" t="s">
        <v>54</v>
      </c>
      <c r="B8" s="13" t="s">
        <v>55</v>
      </c>
      <c r="C8" s="14">
        <v>12</v>
      </c>
      <c r="D8" s="31">
        <v>0</v>
      </c>
      <c r="E8" s="31">
        <v>0</v>
      </c>
      <c r="F8" s="31">
        <v>0</v>
      </c>
      <c r="G8" s="32">
        <f t="shared" si="0"/>
        <v>0</v>
      </c>
    </row>
    <row r="9" spans="1:7" ht="19.95" customHeight="1" x14ac:dyDescent="0.3">
      <c r="A9" s="15" t="s">
        <v>58</v>
      </c>
      <c r="B9" s="16" t="s">
        <v>59</v>
      </c>
      <c r="C9" s="17">
        <v>8</v>
      </c>
      <c r="D9" s="31">
        <v>0</v>
      </c>
      <c r="E9" s="31">
        <v>0</v>
      </c>
      <c r="F9" s="31">
        <v>0</v>
      </c>
      <c r="G9" s="33">
        <f t="shared" si="0"/>
        <v>0</v>
      </c>
    </row>
    <row r="10" spans="1:7" ht="19.95" customHeight="1" x14ac:dyDescent="0.3">
      <c r="A10" s="12" t="s">
        <v>63</v>
      </c>
      <c r="B10" s="13" t="s">
        <v>64</v>
      </c>
      <c r="C10" s="14">
        <v>9</v>
      </c>
      <c r="D10" s="31">
        <v>0</v>
      </c>
      <c r="E10" s="31">
        <v>0</v>
      </c>
      <c r="F10" s="31">
        <v>0</v>
      </c>
      <c r="G10" s="32">
        <f t="shared" si="0"/>
        <v>0</v>
      </c>
    </row>
    <row r="11" spans="1:7" ht="19.95" customHeight="1" x14ac:dyDescent="0.3">
      <c r="A11" s="15" t="s">
        <v>68</v>
      </c>
      <c r="B11" s="16" t="s">
        <v>69</v>
      </c>
      <c r="C11" s="17">
        <v>6</v>
      </c>
      <c r="D11" s="31">
        <v>0</v>
      </c>
      <c r="E11" s="31">
        <v>0</v>
      </c>
      <c r="F11" s="31">
        <v>0</v>
      </c>
      <c r="G11" s="33">
        <f t="shared" si="0"/>
        <v>0</v>
      </c>
    </row>
    <row r="12" spans="1:7" ht="24" customHeight="1" x14ac:dyDescent="0.3">
      <c r="A12" s="34" t="s">
        <v>452</v>
      </c>
      <c r="B12" s="35" t="s">
        <v>453</v>
      </c>
      <c r="C12" s="36">
        <f>SUM(C4:C11)</f>
        <v>86</v>
      </c>
      <c r="D12" s="36">
        <f>SUM(D4:D11)</f>
        <v>0</v>
      </c>
      <c r="E12" s="36">
        <f>SUM(E4:E11)</f>
        <v>0</v>
      </c>
      <c r="F12" s="36">
        <f>SUM(F4:F11)</f>
        <v>0</v>
      </c>
      <c r="G12" s="37">
        <f t="shared" si="0"/>
        <v>0</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TS-01</vt:lpstr>
      <vt:lpstr>TS-02</vt:lpstr>
      <vt:lpstr>TS-03</vt:lpstr>
      <vt:lpstr>TS-04</vt:lpstr>
      <vt:lpstr>TS-05</vt:lpstr>
      <vt:lpstr>TS-06</vt:lpstr>
      <vt:lpstr>TS-07</vt:lpstr>
      <vt:lpstr>TS-08</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Jesinth Nalini</cp:lastModifiedBy>
  <dcterms:created xsi:type="dcterms:W3CDTF">2026-05-25T04:37:47Z</dcterms:created>
  <dcterms:modified xsi:type="dcterms:W3CDTF">2026-05-25T11:41:47Z</dcterms:modified>
</cp:coreProperties>
</file>